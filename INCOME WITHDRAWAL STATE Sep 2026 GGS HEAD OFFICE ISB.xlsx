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ef3b5fef78fb4c/Accounts/6-Income withdrawal state/Sep 26/"/>
    </mc:Choice>
  </mc:AlternateContent>
  <xr:revisionPtr revIDLastSave="20815" documentId="8_{F5ABA283-6118-43A4-8A7C-CAA8B509CE37}" xr6:coauthVersionLast="47" xr6:coauthVersionMax="47" xr10:uidLastSave="{DF67B330-EBAE-4106-9266-40220ED1801B}"/>
  <bookViews>
    <workbookView xWindow="-108" yWindow="-108" windowWidth="23256" windowHeight="12576" activeTab="3" xr2:uid="{84C6C36F-27BA-437F-94FB-506A38E48C31}"/>
  </bookViews>
  <sheets>
    <sheet name="INCOME WITHDRWAL STATE" sheetId="6" r:id="rId1"/>
    <sheet name="SUMMARY PAY EXPENSE SHEET" sheetId="5" r:id="rId2"/>
    <sheet name="EXPENSE SHEET" sheetId="2" r:id="rId3"/>
    <sheet name="P&amp;L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8" l="1"/>
  <c r="Q18" i="8"/>
  <c r="Q15" i="8"/>
  <c r="L18" i="8"/>
  <c r="L15" i="8"/>
  <c r="S123" i="6"/>
  <c r="S122" i="6"/>
  <c r="S121" i="6"/>
  <c r="S120" i="6"/>
  <c r="S119" i="6"/>
  <c r="S118" i="6"/>
  <c r="S117" i="6"/>
  <c r="S116" i="6"/>
  <c r="S115" i="6"/>
  <c r="S114" i="6"/>
  <c r="S113" i="6"/>
  <c r="S112" i="6"/>
  <c r="K34" i="6"/>
  <c r="O117" i="6"/>
  <c r="O118" i="6"/>
  <c r="O119" i="6"/>
  <c r="O120" i="6"/>
  <c r="O121" i="6"/>
  <c r="O122" i="6"/>
  <c r="O123" i="6"/>
  <c r="F119" i="6"/>
  <c r="F120" i="6"/>
  <c r="F121" i="6"/>
  <c r="F122" i="6"/>
  <c r="F123" i="6"/>
  <c r="F118" i="6" l="1"/>
  <c r="F117" i="6"/>
  <c r="O112" i="6"/>
  <c r="F112" i="6"/>
  <c r="F116" i="6" l="1"/>
  <c r="O116" i="6"/>
  <c r="O115" i="6"/>
  <c r="F115" i="6"/>
  <c r="O114" i="6"/>
  <c r="F114" i="6"/>
  <c r="O113" i="6"/>
  <c r="F113" i="6"/>
  <c r="F106" i="6" l="1"/>
  <c r="F107" i="6"/>
  <c r="F108" i="6"/>
  <c r="F109" i="6"/>
  <c r="F110" i="6"/>
  <c r="F111" i="6"/>
  <c r="O106" i="6"/>
  <c r="O107" i="6"/>
  <c r="O108" i="6"/>
  <c r="O109" i="6"/>
  <c r="O110" i="6"/>
  <c r="O111" i="6"/>
  <c r="S106" i="6"/>
  <c r="S107" i="6"/>
  <c r="S108" i="6"/>
  <c r="S109" i="6"/>
  <c r="S110" i="6"/>
  <c r="S111" i="6"/>
  <c r="J91" i="6" l="1"/>
  <c r="E34" i="6"/>
  <c r="R12" i="6" l="1"/>
  <c r="R13" i="6" s="1"/>
  <c r="Y83" i="6"/>
  <c r="Y82" i="6"/>
  <c r="W78" i="6"/>
  <c r="Y76" i="6"/>
  <c r="V65" i="6"/>
  <c r="Y86" i="6" l="1"/>
  <c r="O19" i="6" l="1"/>
  <c r="H36" i="6" l="1"/>
  <c r="E12" i="6" l="1"/>
  <c r="S50" i="6" l="1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45" i="6"/>
  <c r="S46" i="6"/>
  <c r="S47" i="6"/>
  <c r="S48" i="6"/>
  <c r="S49" i="6"/>
  <c r="V52" i="6" l="1"/>
  <c r="F49" i="6"/>
  <c r="O49" i="6"/>
  <c r="F45" i="6" l="1"/>
  <c r="F81" i="6" l="1"/>
  <c r="O81" i="6"/>
  <c r="F19" i="6" l="1"/>
  <c r="AB18" i="5" s="1"/>
  <c r="AB19" i="5" s="1"/>
  <c r="O45" i="6" l="1"/>
  <c r="F51" i="6" l="1"/>
  <c r="O51" i="6"/>
  <c r="F52" i="6"/>
  <c r="O52" i="6"/>
  <c r="F54" i="6" l="1"/>
  <c r="O54" i="6"/>
  <c r="AG234" i="2" l="1"/>
  <c r="AB14" i="5" s="1"/>
  <c r="AG227" i="2"/>
  <c r="AB13" i="5" s="1"/>
  <c r="AG191" i="2"/>
  <c r="AB12" i="5" s="1"/>
  <c r="AG184" i="2"/>
  <c r="AB11" i="5" s="1"/>
  <c r="AG176" i="2"/>
  <c r="AG164" i="2"/>
  <c r="AB9" i="5" s="1"/>
  <c r="AG160" i="2"/>
  <c r="AB8" i="5" s="1"/>
  <c r="AG156" i="2"/>
  <c r="AB7" i="5" s="1"/>
  <c r="AG140" i="2"/>
  <c r="AB6" i="5" s="1"/>
  <c r="AG79" i="2"/>
  <c r="AB5" i="5" s="1"/>
  <c r="AG77" i="2"/>
  <c r="AB4" i="5" s="1"/>
  <c r="AG50" i="2"/>
  <c r="AB3" i="5" s="1"/>
  <c r="AB10" i="5"/>
  <c r="AF234" i="2"/>
  <c r="AA14" i="5" s="1"/>
  <c r="AF227" i="2"/>
  <c r="AA13" i="5" s="1"/>
  <c r="AF191" i="2"/>
  <c r="AA12" i="5" s="1"/>
  <c r="AF184" i="2"/>
  <c r="AA11" i="5" s="1"/>
  <c r="AF176" i="2"/>
  <c r="AA10" i="5" s="1"/>
  <c r="AF164" i="2"/>
  <c r="AA9" i="5" s="1"/>
  <c r="AF160" i="2"/>
  <c r="AA8" i="5" s="1"/>
  <c r="AF156" i="2"/>
  <c r="AA7" i="5" s="1"/>
  <c r="AF140" i="2"/>
  <c r="AA6" i="5" s="1"/>
  <c r="AF79" i="2"/>
  <c r="AA5" i="5" s="1"/>
  <c r="AE79" i="2"/>
  <c r="AD79" i="2"/>
  <c r="AF77" i="2"/>
  <c r="AA4" i="5" s="1"/>
  <c r="AE77" i="2"/>
  <c r="AF50" i="2"/>
  <c r="AA3" i="5" s="1"/>
  <c r="AF235" i="2" l="1"/>
  <c r="AG235" i="2"/>
  <c r="AB15" i="5"/>
  <c r="AA15" i="5"/>
  <c r="AA19" i="5" s="1"/>
  <c r="F56" i="6" l="1"/>
  <c r="O56" i="6"/>
  <c r="G36" i="6" l="1"/>
  <c r="AI179" i="2" l="1"/>
  <c r="AI178" i="2"/>
  <c r="F58" i="6" l="1"/>
  <c r="O58" i="6"/>
  <c r="F60" i="6" l="1"/>
  <c r="O60" i="6"/>
  <c r="N37" i="6" l="1"/>
  <c r="M37" i="6"/>
  <c r="L37" i="6"/>
  <c r="K37" i="6"/>
  <c r="J37" i="6"/>
  <c r="AI49" i="2" l="1"/>
  <c r="AI48" i="2"/>
  <c r="AI47" i="2"/>
  <c r="AI46" i="2"/>
  <c r="AI45" i="2"/>
  <c r="AI44" i="2"/>
  <c r="AI43" i="2"/>
  <c r="AI42" i="2"/>
  <c r="F76" i="6" l="1"/>
  <c r="O76" i="6"/>
  <c r="F64" i="6"/>
  <c r="O64" i="6"/>
  <c r="AI38" i="2" l="1"/>
  <c r="AI41" i="2"/>
  <c r="AI40" i="2"/>
  <c r="AI39" i="2"/>
  <c r="AI189" i="2" l="1"/>
  <c r="AI198" i="2" l="1"/>
  <c r="F7" i="6" l="1"/>
  <c r="R124" i="6" l="1"/>
  <c r="S105" i="6"/>
  <c r="S104" i="6"/>
  <c r="S103" i="6"/>
  <c r="S102" i="6"/>
  <c r="S101" i="6"/>
  <c r="S100" i="6"/>
  <c r="S99" i="6"/>
  <c r="S98" i="6"/>
  <c r="S97" i="6"/>
  <c r="S96" i="6"/>
  <c r="S95" i="6"/>
  <c r="S94" i="6"/>
  <c r="Q124" i="6"/>
  <c r="S44" i="6"/>
  <c r="S43" i="6"/>
  <c r="S42" i="6"/>
  <c r="S124" i="6" l="1"/>
  <c r="AI187" i="2" l="1"/>
  <c r="AI81" i="2" l="1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O53" i="6" l="1"/>
  <c r="O55" i="6"/>
  <c r="O57" i="6"/>
  <c r="O59" i="6"/>
  <c r="O61" i="6"/>
  <c r="O62" i="6"/>
  <c r="O63" i="6"/>
  <c r="O65" i="6"/>
  <c r="O66" i="6"/>
  <c r="F53" i="6"/>
  <c r="F55" i="6"/>
  <c r="F57" i="6"/>
  <c r="F59" i="6"/>
  <c r="F61" i="6"/>
  <c r="F62" i="6"/>
  <c r="F63" i="6"/>
  <c r="F65" i="6"/>
  <c r="N127" i="6" l="1"/>
  <c r="N38" i="6"/>
  <c r="N128" i="6" l="1"/>
  <c r="O46" i="6" l="1"/>
  <c r="O47" i="6"/>
  <c r="O48" i="6"/>
  <c r="O50" i="6"/>
  <c r="O67" i="6"/>
  <c r="O68" i="6"/>
  <c r="O69" i="6"/>
  <c r="O70" i="6"/>
  <c r="O71" i="6"/>
  <c r="O72" i="6"/>
  <c r="O73" i="6"/>
  <c r="O74" i="6"/>
  <c r="O75" i="6"/>
  <c r="O77" i="6"/>
  <c r="O78" i="6"/>
  <c r="O79" i="6"/>
  <c r="O80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24" i="6"/>
  <c r="O125" i="6"/>
  <c r="O126" i="6"/>
  <c r="O4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20" i="6"/>
  <c r="O21" i="6"/>
  <c r="O22" i="6"/>
  <c r="O23" i="6"/>
  <c r="O24" i="6"/>
  <c r="O25" i="6"/>
  <c r="O26" i="6"/>
  <c r="O27" i="6"/>
  <c r="N18" i="5" s="1"/>
  <c r="O28" i="6"/>
  <c r="O29" i="6"/>
  <c r="O30" i="6"/>
  <c r="O31" i="6"/>
  <c r="O32" i="6"/>
  <c r="O33" i="6"/>
  <c r="O34" i="6"/>
  <c r="O35" i="6"/>
  <c r="O5" i="6"/>
  <c r="AI186" i="2" l="1"/>
  <c r="AI180" i="2" l="1"/>
  <c r="F9" i="6" l="1"/>
  <c r="Z4" i="5" l="1"/>
  <c r="AC77" i="2"/>
  <c r="X4" i="5" s="1"/>
  <c r="L127" i="6" l="1"/>
  <c r="K127" i="6" l="1"/>
  <c r="H227" i="2" l="1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I223" i="2"/>
  <c r="AI220" i="2"/>
  <c r="AI221" i="2"/>
  <c r="AI222" i="2"/>
  <c r="AI224" i="2"/>
  <c r="AI225" i="2"/>
  <c r="AI219" i="2"/>
  <c r="AI218" i="2"/>
  <c r="AI217" i="2"/>
  <c r="AI213" i="2"/>
  <c r="AI214" i="2"/>
  <c r="AI215" i="2"/>
  <c r="AI216" i="2"/>
  <c r="AI226" i="2"/>
  <c r="AI148" i="2"/>
  <c r="AI149" i="2"/>
  <c r="AI150" i="2"/>
  <c r="AI151" i="2"/>
  <c r="AI152" i="2"/>
  <c r="AI153" i="2"/>
  <c r="AI154" i="2"/>
  <c r="AI155" i="2"/>
  <c r="L234" i="2" l="1"/>
  <c r="G14" i="5" s="1"/>
  <c r="L79" i="2"/>
  <c r="L77" i="2"/>
  <c r="AI203" i="2"/>
  <c r="AI204" i="2"/>
  <c r="AI205" i="2"/>
  <c r="AI206" i="2"/>
  <c r="AI207" i="2"/>
  <c r="AI208" i="2"/>
  <c r="AI209" i="2"/>
  <c r="AI210" i="2"/>
  <c r="AI211" i="2"/>
  <c r="AI212" i="2"/>
  <c r="W13" i="5"/>
  <c r="X13" i="5"/>
  <c r="Y13" i="5"/>
  <c r="Z13" i="5"/>
  <c r="AH227" i="2"/>
  <c r="L184" i="2"/>
  <c r="L176" i="2"/>
  <c r="L160" i="2"/>
  <c r="L140" i="2"/>
  <c r="AD234" i="2"/>
  <c r="Y14" i="5" s="1"/>
  <c r="AE234" i="2"/>
  <c r="Z14" i="5" s="1"/>
  <c r="AD191" i="2"/>
  <c r="Y12" i="5" s="1"/>
  <c r="AE191" i="2"/>
  <c r="Z12" i="5" s="1"/>
  <c r="AD184" i="2"/>
  <c r="Y11" i="5" s="1"/>
  <c r="AE184" i="2"/>
  <c r="Z11" i="5" s="1"/>
  <c r="AD176" i="2"/>
  <c r="Y10" i="5" s="1"/>
  <c r="AE176" i="2"/>
  <c r="Z10" i="5" s="1"/>
  <c r="AD164" i="2"/>
  <c r="Y9" i="5" s="1"/>
  <c r="AE164" i="2"/>
  <c r="Z9" i="5" s="1"/>
  <c r="AD160" i="2"/>
  <c r="Y8" i="5" s="1"/>
  <c r="AE160" i="2"/>
  <c r="Z8" i="5" s="1"/>
  <c r="AD156" i="2"/>
  <c r="Y7" i="5" s="1"/>
  <c r="AE156" i="2"/>
  <c r="Z7" i="5" s="1"/>
  <c r="AD140" i="2"/>
  <c r="Y6" i="5" s="1"/>
  <c r="AE140" i="2"/>
  <c r="Z6" i="5" s="1"/>
  <c r="AE50" i="2" l="1"/>
  <c r="Z5" i="5"/>
  <c r="Y5" i="5"/>
  <c r="AD77" i="2"/>
  <c r="Y4" i="5" s="1"/>
  <c r="AH77" i="2"/>
  <c r="AD50" i="2"/>
  <c r="Y3" i="5" l="1"/>
  <c r="Y15" i="5" s="1"/>
  <c r="AD235" i="2"/>
  <c r="Z3" i="5"/>
  <c r="Z15" i="5" s="1"/>
  <c r="AE235" i="2"/>
  <c r="AI147" i="2" l="1"/>
  <c r="Z156" i="2"/>
  <c r="AA156" i="2"/>
  <c r="AB156" i="2"/>
  <c r="W7" i="5" s="1"/>
  <c r="AC156" i="2"/>
  <c r="X7" i="5" s="1"/>
  <c r="AH156" i="2"/>
  <c r="AC7" i="5" s="1"/>
  <c r="X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Y156" i="2"/>
  <c r="H156" i="2"/>
  <c r="F33" i="6" l="1"/>
  <c r="X18" i="5" l="1"/>
  <c r="L18" i="5"/>
  <c r="Y18" i="5"/>
  <c r="Y19" i="5" s="1"/>
  <c r="V18" i="5"/>
  <c r="M18" i="5"/>
  <c r="O18" i="5"/>
  <c r="Q18" i="5"/>
  <c r="S18" i="5"/>
  <c r="C18" i="5"/>
  <c r="R18" i="5"/>
  <c r="AI145" i="2" l="1"/>
  <c r="AI144" i="2"/>
  <c r="AI143" i="2"/>
  <c r="F97" i="6"/>
  <c r="F90" i="6" l="1"/>
  <c r="F91" i="6"/>
  <c r="F92" i="6"/>
  <c r="F93" i="6"/>
  <c r="F94" i="6"/>
  <c r="F95" i="6"/>
  <c r="F96" i="6"/>
  <c r="F98" i="6"/>
  <c r="F99" i="6"/>
  <c r="F100" i="6"/>
  <c r="F101" i="6"/>
  <c r="F102" i="6"/>
  <c r="F103" i="6"/>
  <c r="AC13" i="5" l="1"/>
  <c r="AI201" i="2"/>
  <c r="AI202" i="2"/>
  <c r="AI200" i="2"/>
  <c r="AI162" i="2"/>
  <c r="M38" i="6" l="1"/>
  <c r="D36" i="6"/>
  <c r="E36" i="6"/>
  <c r="O36" i="6" l="1"/>
  <c r="AB234" i="2"/>
  <c r="W14" i="5" s="1"/>
  <c r="AC234" i="2"/>
  <c r="X14" i="5" s="1"/>
  <c r="AB191" i="2"/>
  <c r="W12" i="5" s="1"/>
  <c r="AC191" i="2"/>
  <c r="X12" i="5" s="1"/>
  <c r="AB184" i="2"/>
  <c r="W11" i="5" s="1"/>
  <c r="AC184" i="2"/>
  <c r="X11" i="5" s="1"/>
  <c r="AB176" i="2"/>
  <c r="W10" i="5" s="1"/>
  <c r="AC176" i="2"/>
  <c r="X10" i="5" s="1"/>
  <c r="AB164" i="2"/>
  <c r="W9" i="5" s="1"/>
  <c r="AC164" i="2"/>
  <c r="X9" i="5" s="1"/>
  <c r="AB160" i="2"/>
  <c r="W8" i="5" s="1"/>
  <c r="AC160" i="2"/>
  <c r="X8" i="5" s="1"/>
  <c r="AB140" i="2"/>
  <c r="W6" i="5" s="1"/>
  <c r="AC140" i="2"/>
  <c r="X6" i="5" s="1"/>
  <c r="AB79" i="2"/>
  <c r="AC79" i="2"/>
  <c r="AC50" i="2"/>
  <c r="W5" i="5"/>
  <c r="X5" i="5"/>
  <c r="F74" i="6"/>
  <c r="F75" i="6"/>
  <c r="F77" i="6"/>
  <c r="F78" i="6"/>
  <c r="F79" i="6"/>
  <c r="F80" i="6"/>
  <c r="F82" i="6"/>
  <c r="F83" i="6"/>
  <c r="F84" i="6"/>
  <c r="F73" i="6"/>
  <c r="X3" i="5" l="1"/>
  <c r="X15" i="5" s="1"/>
  <c r="X19" i="5" s="1"/>
  <c r="AC235" i="2"/>
  <c r="F20" i="6"/>
  <c r="F18" i="6"/>
  <c r="F29" i="6"/>
  <c r="F11" i="6" l="1"/>
  <c r="Z18" i="5" s="1"/>
  <c r="Z19" i="5" s="1"/>
  <c r="F10" i="6"/>
  <c r="F8" i="6"/>
  <c r="F34" i="6"/>
  <c r="D18" i="5" s="1"/>
  <c r="F35" i="6"/>
  <c r="M127" i="6" l="1"/>
  <c r="H127" i="6"/>
  <c r="I127" i="6"/>
  <c r="I38" i="6"/>
  <c r="F22" i="6"/>
  <c r="W50" i="2"/>
  <c r="R3" i="5" s="1"/>
  <c r="H50" i="2"/>
  <c r="C3" i="5" s="1"/>
  <c r="I50" i="2"/>
  <c r="D3" i="5" s="1"/>
  <c r="J50" i="2"/>
  <c r="E3" i="5" s="1"/>
  <c r="K50" i="2"/>
  <c r="F3" i="5" s="1"/>
  <c r="L50" i="2"/>
  <c r="G3" i="5" s="1"/>
  <c r="M50" i="2"/>
  <c r="H3" i="5" s="1"/>
  <c r="N50" i="2"/>
  <c r="I3" i="5" s="1"/>
  <c r="O50" i="2"/>
  <c r="J3" i="5" s="1"/>
  <c r="P50" i="2"/>
  <c r="K3" i="5" s="1"/>
  <c r="Q50" i="2"/>
  <c r="L3" i="5" s="1"/>
  <c r="R50" i="2"/>
  <c r="M3" i="5" s="1"/>
  <c r="S50" i="2"/>
  <c r="N3" i="5" s="1"/>
  <c r="T50" i="2"/>
  <c r="O3" i="5" s="1"/>
  <c r="U50" i="2"/>
  <c r="P3" i="5" s="1"/>
  <c r="V50" i="2"/>
  <c r="Q3" i="5" s="1"/>
  <c r="X50" i="2"/>
  <c r="S3" i="5" s="1"/>
  <c r="Y50" i="2"/>
  <c r="T3" i="5" s="1"/>
  <c r="Z50" i="2"/>
  <c r="U3" i="5" s="1"/>
  <c r="AA50" i="2"/>
  <c r="V3" i="5" s="1"/>
  <c r="AB50" i="2"/>
  <c r="AH50" i="2"/>
  <c r="AC3" i="5" s="1"/>
  <c r="H38" i="6"/>
  <c r="J38" i="6"/>
  <c r="K38" i="6"/>
  <c r="G38" i="6"/>
  <c r="F126" i="6"/>
  <c r="F125" i="6"/>
  <c r="F124" i="6"/>
  <c r="E127" i="6"/>
  <c r="G127" i="6"/>
  <c r="J127" i="6"/>
  <c r="D127" i="6"/>
  <c r="AI31" i="2"/>
  <c r="AI32" i="2"/>
  <c r="AI33" i="2"/>
  <c r="AI34" i="2"/>
  <c r="AI35" i="2"/>
  <c r="AI36" i="2"/>
  <c r="AI37" i="2"/>
  <c r="F87" i="6"/>
  <c r="F88" i="6"/>
  <c r="F89" i="6"/>
  <c r="F104" i="6"/>
  <c r="F105" i="6"/>
  <c r="F32" i="6"/>
  <c r="F31" i="6"/>
  <c r="AH140" i="2"/>
  <c r="AC6" i="5" s="1"/>
  <c r="AI24" i="2"/>
  <c r="AI25" i="2"/>
  <c r="AI26" i="2"/>
  <c r="AI27" i="2"/>
  <c r="AI28" i="2"/>
  <c r="AI29" i="2"/>
  <c r="AI30" i="2"/>
  <c r="G13" i="5"/>
  <c r="G11" i="5"/>
  <c r="G10" i="5"/>
  <c r="G8" i="5"/>
  <c r="G7" i="5"/>
  <c r="G6" i="5"/>
  <c r="G5" i="5"/>
  <c r="G4" i="5"/>
  <c r="F30" i="6"/>
  <c r="K77" i="2"/>
  <c r="F4" i="5" s="1"/>
  <c r="H77" i="2"/>
  <c r="C4" i="5" s="1"/>
  <c r="H79" i="2"/>
  <c r="C5" i="5" s="1"/>
  <c r="H140" i="2"/>
  <c r="C6" i="5" s="1"/>
  <c r="C7" i="5"/>
  <c r="I164" i="2"/>
  <c r="D9" i="5" s="1"/>
  <c r="J164" i="2"/>
  <c r="E9" i="5" s="1"/>
  <c r="K164" i="2"/>
  <c r="F9" i="5" s="1"/>
  <c r="L164" i="2"/>
  <c r="G9" i="5" s="1"/>
  <c r="M164" i="2"/>
  <c r="H9" i="5" s="1"/>
  <c r="N164" i="2"/>
  <c r="I9" i="5" s="1"/>
  <c r="O164" i="2"/>
  <c r="J9" i="5" s="1"/>
  <c r="P164" i="2"/>
  <c r="K9" i="5" s="1"/>
  <c r="Q164" i="2"/>
  <c r="L9" i="5" s="1"/>
  <c r="R164" i="2"/>
  <c r="M9" i="5" s="1"/>
  <c r="S164" i="2"/>
  <c r="N9" i="5" s="1"/>
  <c r="T164" i="2"/>
  <c r="O9" i="5" s="1"/>
  <c r="U164" i="2"/>
  <c r="P9" i="5" s="1"/>
  <c r="V164" i="2"/>
  <c r="Q9" i="5" s="1"/>
  <c r="W164" i="2"/>
  <c r="R9" i="5" s="1"/>
  <c r="X164" i="2"/>
  <c r="S9" i="5" s="1"/>
  <c r="Y164" i="2"/>
  <c r="T9" i="5" s="1"/>
  <c r="Z164" i="2"/>
  <c r="U9" i="5" s="1"/>
  <c r="AA164" i="2"/>
  <c r="V9" i="5" s="1"/>
  <c r="AH164" i="2"/>
  <c r="AC9" i="5" s="1"/>
  <c r="H164" i="2"/>
  <c r="C9" i="5" s="1"/>
  <c r="H176" i="2"/>
  <c r="C10" i="5" s="1"/>
  <c r="H191" i="2"/>
  <c r="C12" i="5" s="1"/>
  <c r="I191" i="2"/>
  <c r="D12" i="5" s="1"/>
  <c r="J191" i="2"/>
  <c r="E12" i="5" s="1"/>
  <c r="K191" i="2"/>
  <c r="F12" i="5" s="1"/>
  <c r="L191" i="2"/>
  <c r="G12" i="5" s="1"/>
  <c r="M191" i="2"/>
  <c r="H12" i="5" s="1"/>
  <c r="N191" i="2"/>
  <c r="I12" i="5" s="1"/>
  <c r="O191" i="2"/>
  <c r="J12" i="5" s="1"/>
  <c r="P191" i="2"/>
  <c r="K12" i="5" s="1"/>
  <c r="Q191" i="2"/>
  <c r="L12" i="5" s="1"/>
  <c r="R191" i="2"/>
  <c r="M12" i="5" s="1"/>
  <c r="S191" i="2"/>
  <c r="N12" i="5" s="1"/>
  <c r="T191" i="2"/>
  <c r="O12" i="5" s="1"/>
  <c r="U191" i="2"/>
  <c r="P12" i="5" s="1"/>
  <c r="V191" i="2"/>
  <c r="Q12" i="5" s="1"/>
  <c r="W191" i="2"/>
  <c r="R12" i="5" s="1"/>
  <c r="X191" i="2"/>
  <c r="S12" i="5" s="1"/>
  <c r="Y191" i="2"/>
  <c r="T12" i="5" s="1"/>
  <c r="Z191" i="2"/>
  <c r="U12" i="5" s="1"/>
  <c r="AA191" i="2"/>
  <c r="V12" i="5" s="1"/>
  <c r="AH191" i="2"/>
  <c r="AC12" i="5" s="1"/>
  <c r="AI190" i="2"/>
  <c r="AI188" i="2"/>
  <c r="F27" i="6"/>
  <c r="F28" i="6"/>
  <c r="AI163" i="2"/>
  <c r="F5" i="6"/>
  <c r="F6" i="6"/>
  <c r="F12" i="6"/>
  <c r="T18" i="5" s="1"/>
  <c r="F13" i="6"/>
  <c r="F14" i="6"/>
  <c r="F15" i="6"/>
  <c r="F16" i="6"/>
  <c r="F17" i="6"/>
  <c r="F21" i="6"/>
  <c r="F23" i="6"/>
  <c r="U18" i="5" s="1"/>
  <c r="F24" i="6"/>
  <c r="F25" i="6"/>
  <c r="F26" i="6"/>
  <c r="AI52" i="2"/>
  <c r="AI53" i="2"/>
  <c r="AI54" i="2"/>
  <c r="AI55" i="2"/>
  <c r="AI56" i="2"/>
  <c r="AI166" i="2"/>
  <c r="AI174" i="2"/>
  <c r="AI22" i="2"/>
  <c r="AI21" i="2"/>
  <c r="F69" i="6"/>
  <c r="AI23" i="2"/>
  <c r="AI64" i="2"/>
  <c r="AI61" i="2"/>
  <c r="H234" i="2"/>
  <c r="C14" i="5" s="1"/>
  <c r="I234" i="2"/>
  <c r="D14" i="5" s="1"/>
  <c r="J234" i="2"/>
  <c r="E14" i="5" s="1"/>
  <c r="K234" i="2"/>
  <c r="F14" i="5" s="1"/>
  <c r="M234" i="2"/>
  <c r="H14" i="5" s="1"/>
  <c r="N234" i="2"/>
  <c r="I14" i="5" s="1"/>
  <c r="O234" i="2"/>
  <c r="J14" i="5" s="1"/>
  <c r="P234" i="2"/>
  <c r="K14" i="5" s="1"/>
  <c r="Q234" i="2"/>
  <c r="L14" i="5" s="1"/>
  <c r="R234" i="2"/>
  <c r="M14" i="5" s="1"/>
  <c r="S234" i="2"/>
  <c r="N14" i="5" s="1"/>
  <c r="T234" i="2"/>
  <c r="O14" i="5" s="1"/>
  <c r="U234" i="2"/>
  <c r="P14" i="5" s="1"/>
  <c r="V234" i="2"/>
  <c r="Q14" i="5" s="1"/>
  <c r="W234" i="2"/>
  <c r="R14" i="5" s="1"/>
  <c r="X234" i="2"/>
  <c r="S14" i="5" s="1"/>
  <c r="Y234" i="2"/>
  <c r="T14" i="5" s="1"/>
  <c r="Z234" i="2"/>
  <c r="U14" i="5" s="1"/>
  <c r="AA234" i="2"/>
  <c r="V14" i="5" s="1"/>
  <c r="AH234" i="2"/>
  <c r="AC14" i="5" s="1"/>
  <c r="AI233" i="2"/>
  <c r="H160" i="2"/>
  <c r="C8" i="5" s="1"/>
  <c r="I160" i="2"/>
  <c r="D8" i="5" s="1"/>
  <c r="J160" i="2"/>
  <c r="E8" i="5" s="1"/>
  <c r="K160" i="2"/>
  <c r="F8" i="5" s="1"/>
  <c r="M160" i="2"/>
  <c r="H8" i="5" s="1"/>
  <c r="N160" i="2"/>
  <c r="I8" i="5" s="1"/>
  <c r="O160" i="2"/>
  <c r="J8" i="5" s="1"/>
  <c r="P160" i="2"/>
  <c r="K8" i="5" s="1"/>
  <c r="Q160" i="2"/>
  <c r="L8" i="5" s="1"/>
  <c r="R160" i="2"/>
  <c r="M8" i="5" s="1"/>
  <c r="S160" i="2"/>
  <c r="N8" i="5" s="1"/>
  <c r="T160" i="2"/>
  <c r="O8" i="5" s="1"/>
  <c r="U160" i="2"/>
  <c r="P8" i="5" s="1"/>
  <c r="V160" i="2"/>
  <c r="Q8" i="5" s="1"/>
  <c r="W160" i="2"/>
  <c r="R8" i="5" s="1"/>
  <c r="X160" i="2"/>
  <c r="S8" i="5" s="1"/>
  <c r="Y160" i="2"/>
  <c r="T8" i="5" s="1"/>
  <c r="Z160" i="2"/>
  <c r="U8" i="5" s="1"/>
  <c r="AA160" i="2"/>
  <c r="V8" i="5" s="1"/>
  <c r="AH160" i="2"/>
  <c r="AC8" i="5" s="1"/>
  <c r="I176" i="2"/>
  <c r="D10" i="5" s="1"/>
  <c r="J176" i="2"/>
  <c r="E10" i="5" s="1"/>
  <c r="K176" i="2"/>
  <c r="F10" i="5" s="1"/>
  <c r="M176" i="2"/>
  <c r="H10" i="5" s="1"/>
  <c r="N176" i="2"/>
  <c r="I10" i="5" s="1"/>
  <c r="O176" i="2"/>
  <c r="J10" i="5" s="1"/>
  <c r="P176" i="2"/>
  <c r="K10" i="5" s="1"/>
  <c r="Q176" i="2"/>
  <c r="L10" i="5" s="1"/>
  <c r="R176" i="2"/>
  <c r="M10" i="5" s="1"/>
  <c r="S176" i="2"/>
  <c r="N10" i="5" s="1"/>
  <c r="T176" i="2"/>
  <c r="O10" i="5" s="1"/>
  <c r="U176" i="2"/>
  <c r="P10" i="5" s="1"/>
  <c r="V176" i="2"/>
  <c r="Q10" i="5" s="1"/>
  <c r="W176" i="2"/>
  <c r="R10" i="5" s="1"/>
  <c r="X176" i="2"/>
  <c r="S10" i="5" s="1"/>
  <c r="Y176" i="2"/>
  <c r="T10" i="5" s="1"/>
  <c r="Z176" i="2"/>
  <c r="U10" i="5" s="1"/>
  <c r="AA176" i="2"/>
  <c r="V10" i="5" s="1"/>
  <c r="AH176" i="2"/>
  <c r="AC10" i="5" s="1"/>
  <c r="AI175" i="2"/>
  <c r="AI67" i="2"/>
  <c r="AI68" i="2"/>
  <c r="AI173" i="2"/>
  <c r="AI172" i="2"/>
  <c r="AI171" i="2"/>
  <c r="I184" i="2"/>
  <c r="D11" i="5" s="1"/>
  <c r="J184" i="2"/>
  <c r="E11" i="5" s="1"/>
  <c r="K184" i="2"/>
  <c r="F11" i="5" s="1"/>
  <c r="M184" i="2"/>
  <c r="H11" i="5" s="1"/>
  <c r="N184" i="2"/>
  <c r="I11" i="5" s="1"/>
  <c r="O184" i="2"/>
  <c r="J11" i="5" s="1"/>
  <c r="P184" i="2"/>
  <c r="K11" i="5" s="1"/>
  <c r="Q184" i="2"/>
  <c r="L11" i="5" s="1"/>
  <c r="R184" i="2"/>
  <c r="M11" i="5" s="1"/>
  <c r="S184" i="2"/>
  <c r="N11" i="5" s="1"/>
  <c r="T184" i="2"/>
  <c r="O11" i="5" s="1"/>
  <c r="U184" i="2"/>
  <c r="P11" i="5" s="1"/>
  <c r="V184" i="2"/>
  <c r="Q11" i="5" s="1"/>
  <c r="W184" i="2"/>
  <c r="R11" i="5" s="1"/>
  <c r="X184" i="2"/>
  <c r="S11" i="5" s="1"/>
  <c r="Y184" i="2"/>
  <c r="T11" i="5" s="1"/>
  <c r="Z184" i="2"/>
  <c r="U11" i="5" s="1"/>
  <c r="AA184" i="2"/>
  <c r="V11" i="5" s="1"/>
  <c r="AH184" i="2"/>
  <c r="AC11" i="5" s="1"/>
  <c r="H184" i="2"/>
  <c r="C11" i="5" s="1"/>
  <c r="AI183" i="2"/>
  <c r="O43" i="6"/>
  <c r="AB77" i="2"/>
  <c r="W4" i="5" s="1"/>
  <c r="AI170" i="2"/>
  <c r="F44" i="6"/>
  <c r="F46" i="6"/>
  <c r="F47" i="6"/>
  <c r="F48" i="6"/>
  <c r="F50" i="6"/>
  <c r="F66" i="6"/>
  <c r="F67" i="6"/>
  <c r="F68" i="6"/>
  <c r="F70" i="6"/>
  <c r="F71" i="6"/>
  <c r="F72" i="6"/>
  <c r="F85" i="6"/>
  <c r="F86" i="6"/>
  <c r="F43" i="6"/>
  <c r="E18" i="5"/>
  <c r="AI17" i="2"/>
  <c r="AI229" i="2"/>
  <c r="AI230" i="2"/>
  <c r="AI231" i="2"/>
  <c r="AI232" i="2"/>
  <c r="AI228" i="2"/>
  <c r="AI193" i="2"/>
  <c r="AI194" i="2"/>
  <c r="AI195" i="2"/>
  <c r="AI196" i="2"/>
  <c r="AI197" i="2"/>
  <c r="AI199" i="2"/>
  <c r="AI192" i="2"/>
  <c r="D13" i="5"/>
  <c r="E13" i="5"/>
  <c r="F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C13" i="5"/>
  <c r="I79" i="2"/>
  <c r="D5" i="5" s="1"/>
  <c r="J79" i="2"/>
  <c r="E5" i="5" s="1"/>
  <c r="K79" i="2"/>
  <c r="F5" i="5" s="1"/>
  <c r="M79" i="2"/>
  <c r="H5" i="5" s="1"/>
  <c r="N79" i="2"/>
  <c r="I5" i="5" s="1"/>
  <c r="O79" i="2"/>
  <c r="J5" i="5" s="1"/>
  <c r="P79" i="2"/>
  <c r="K5" i="5" s="1"/>
  <c r="Q79" i="2"/>
  <c r="L5" i="5" s="1"/>
  <c r="R79" i="2"/>
  <c r="M5" i="5" s="1"/>
  <c r="S79" i="2"/>
  <c r="N5" i="5" s="1"/>
  <c r="T79" i="2"/>
  <c r="O5" i="5" s="1"/>
  <c r="U79" i="2"/>
  <c r="P5" i="5" s="1"/>
  <c r="V79" i="2"/>
  <c r="Q5" i="5" s="1"/>
  <c r="W79" i="2"/>
  <c r="R5" i="5" s="1"/>
  <c r="X79" i="2"/>
  <c r="S5" i="5" s="1"/>
  <c r="Y79" i="2"/>
  <c r="T5" i="5" s="1"/>
  <c r="Z79" i="2"/>
  <c r="U5" i="5" s="1"/>
  <c r="AA79" i="2"/>
  <c r="V5" i="5" s="1"/>
  <c r="AH79" i="2"/>
  <c r="AC5" i="5" s="1"/>
  <c r="I140" i="2"/>
  <c r="D6" i="5" s="1"/>
  <c r="J140" i="2"/>
  <c r="E6" i="5" s="1"/>
  <c r="K140" i="2"/>
  <c r="F6" i="5" s="1"/>
  <c r="M140" i="2"/>
  <c r="H6" i="5" s="1"/>
  <c r="N140" i="2"/>
  <c r="I6" i="5" s="1"/>
  <c r="O140" i="2"/>
  <c r="J6" i="5" s="1"/>
  <c r="P140" i="2"/>
  <c r="K6" i="5" s="1"/>
  <c r="Q140" i="2"/>
  <c r="L6" i="5" s="1"/>
  <c r="R140" i="2"/>
  <c r="M6" i="5" s="1"/>
  <c r="S140" i="2"/>
  <c r="N6" i="5" s="1"/>
  <c r="T140" i="2"/>
  <c r="O6" i="5" s="1"/>
  <c r="U140" i="2"/>
  <c r="P6" i="5" s="1"/>
  <c r="V140" i="2"/>
  <c r="Q6" i="5" s="1"/>
  <c r="W140" i="2"/>
  <c r="R6" i="5" s="1"/>
  <c r="X140" i="2"/>
  <c r="S6" i="5" s="1"/>
  <c r="Y140" i="2"/>
  <c r="T6" i="5" s="1"/>
  <c r="Z140" i="2"/>
  <c r="U6" i="5" s="1"/>
  <c r="AA140" i="2"/>
  <c r="V6" i="5" s="1"/>
  <c r="AI182" i="2"/>
  <c r="AI169" i="2"/>
  <c r="D7" i="5"/>
  <c r="E7" i="5"/>
  <c r="F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I77" i="2"/>
  <c r="D4" i="5" s="1"/>
  <c r="J77" i="2"/>
  <c r="E4" i="5" s="1"/>
  <c r="M77" i="2"/>
  <c r="H4" i="5" s="1"/>
  <c r="N77" i="2"/>
  <c r="I4" i="5" s="1"/>
  <c r="O77" i="2"/>
  <c r="J4" i="5" s="1"/>
  <c r="P77" i="2"/>
  <c r="K4" i="5" s="1"/>
  <c r="Q77" i="2"/>
  <c r="L4" i="5" s="1"/>
  <c r="R77" i="2"/>
  <c r="M4" i="5" s="1"/>
  <c r="S77" i="2"/>
  <c r="N4" i="5" s="1"/>
  <c r="T77" i="2"/>
  <c r="O4" i="5" s="1"/>
  <c r="U77" i="2"/>
  <c r="P4" i="5" s="1"/>
  <c r="V77" i="2"/>
  <c r="Q4" i="5" s="1"/>
  <c r="W77" i="2"/>
  <c r="R4" i="5" s="1"/>
  <c r="X77" i="2"/>
  <c r="S4" i="5" s="1"/>
  <c r="Y77" i="2"/>
  <c r="T4" i="5" s="1"/>
  <c r="Z77" i="2"/>
  <c r="U4" i="5" s="1"/>
  <c r="AA77" i="2"/>
  <c r="V4" i="5" s="1"/>
  <c r="AC4" i="5"/>
  <c r="AI76" i="2"/>
  <c r="AI75" i="2"/>
  <c r="AI74" i="2"/>
  <c r="AI73" i="2"/>
  <c r="AI72" i="2"/>
  <c r="AI71" i="2"/>
  <c r="AI70" i="2"/>
  <c r="AI69" i="2"/>
  <c r="AI66" i="2"/>
  <c r="AI65" i="2"/>
  <c r="AI63" i="2"/>
  <c r="AI62" i="2"/>
  <c r="AI60" i="2"/>
  <c r="AI59" i="2"/>
  <c r="AI58" i="2"/>
  <c r="AI57" i="2"/>
  <c r="AI51" i="2"/>
  <c r="AI185" i="2"/>
  <c r="AI168" i="2"/>
  <c r="AI167" i="2"/>
  <c r="AI165" i="2"/>
  <c r="AI181" i="2"/>
  <c r="AI161" i="2"/>
  <c r="AI177" i="2"/>
  <c r="AI158" i="2"/>
  <c r="AI159" i="2"/>
  <c r="AI157" i="2"/>
  <c r="AI142" i="2"/>
  <c r="AI146" i="2"/>
  <c r="AI141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8" i="2"/>
  <c r="AI139" i="2"/>
  <c r="AI80" i="2"/>
  <c r="AI78" i="2"/>
  <c r="AI79" i="2" s="1"/>
  <c r="AI20" i="2"/>
  <c r="AI3" i="2"/>
  <c r="AI14" i="2"/>
  <c r="AI15" i="2"/>
  <c r="AI18" i="2"/>
  <c r="AI13" i="2"/>
  <c r="AI4" i="2"/>
  <c r="AI5" i="2"/>
  <c r="AI6" i="2"/>
  <c r="AI7" i="2"/>
  <c r="AI8" i="2"/>
  <c r="AI9" i="2"/>
  <c r="AI10" i="2"/>
  <c r="AI11" i="2"/>
  <c r="AI12" i="2"/>
  <c r="AI16" i="2"/>
  <c r="AI19" i="2"/>
  <c r="P18" i="5" l="1"/>
  <c r="W3" i="5"/>
  <c r="AB235" i="2"/>
  <c r="AI191" i="2"/>
  <c r="T5" i="6"/>
  <c r="K18" i="5" s="1"/>
  <c r="W15" i="5"/>
  <c r="W19" i="5" s="1"/>
  <c r="AC15" i="5"/>
  <c r="AC19" i="5" s="1"/>
  <c r="AI156" i="2"/>
  <c r="AI227" i="2"/>
  <c r="H128" i="6"/>
  <c r="AI164" i="2"/>
  <c r="AI184" i="2"/>
  <c r="F36" i="6"/>
  <c r="T235" i="2"/>
  <c r="G15" i="5"/>
  <c r="G19" i="5" s="1"/>
  <c r="AD7" i="5"/>
  <c r="E9" i="8" s="1"/>
  <c r="AD9" i="5"/>
  <c r="E11" i="8" s="1"/>
  <c r="I235" i="2"/>
  <c r="AD5" i="5"/>
  <c r="E7" i="8" s="1"/>
  <c r="AI234" i="2"/>
  <c r="AD11" i="5"/>
  <c r="E13" i="8" s="1"/>
  <c r="AA235" i="2"/>
  <c r="M235" i="2"/>
  <c r="AD13" i="5"/>
  <c r="E15" i="8" s="1"/>
  <c r="AD8" i="5"/>
  <c r="E10" i="8" s="1"/>
  <c r="AI50" i="2"/>
  <c r="AI160" i="2"/>
  <c r="AI77" i="2"/>
  <c r="AD6" i="5"/>
  <c r="E8" i="8" s="1"/>
  <c r="AI140" i="2"/>
  <c r="J128" i="6"/>
  <c r="I128" i="6"/>
  <c r="M128" i="6"/>
  <c r="K128" i="6"/>
  <c r="G128" i="6"/>
  <c r="P235" i="2"/>
  <c r="AD14" i="5"/>
  <c r="E16" i="8" s="1"/>
  <c r="U15" i="5"/>
  <c r="U19" i="5" s="1"/>
  <c r="O15" i="5"/>
  <c r="O19" i="5" s="1"/>
  <c r="D15" i="5"/>
  <c r="D19" i="5" s="1"/>
  <c r="P15" i="5"/>
  <c r="U235" i="2"/>
  <c r="Q235" i="2"/>
  <c r="O235" i="2"/>
  <c r="W235" i="2"/>
  <c r="K15" i="5"/>
  <c r="J15" i="5"/>
  <c r="J19" i="5" s="1"/>
  <c r="T15" i="5"/>
  <c r="T19" i="5" s="1"/>
  <c r="N15" i="5"/>
  <c r="N19" i="5" s="1"/>
  <c r="E15" i="5"/>
  <c r="E19" i="5" s="1"/>
  <c r="AI176" i="2"/>
  <c r="Y235" i="2"/>
  <c r="R15" i="5"/>
  <c r="R19" i="5" s="1"/>
  <c r="I15" i="5"/>
  <c r="I19" i="5" s="1"/>
  <c r="J235" i="2"/>
  <c r="H235" i="2"/>
  <c r="H15" i="5"/>
  <c r="H19" i="5" s="1"/>
  <c r="L15" i="5"/>
  <c r="L19" i="5" s="1"/>
  <c r="AD4" i="5"/>
  <c r="E6" i="8" s="1"/>
  <c r="R235" i="2"/>
  <c r="X235" i="2"/>
  <c r="AH235" i="2"/>
  <c r="S15" i="5"/>
  <c r="S19" i="5" s="1"/>
  <c r="Q15" i="5"/>
  <c r="Q19" i="5" s="1"/>
  <c r="V15" i="5"/>
  <c r="V19" i="5" s="1"/>
  <c r="M15" i="5"/>
  <c r="M19" i="5" s="1"/>
  <c r="V235" i="2"/>
  <c r="Z235" i="2"/>
  <c r="N235" i="2"/>
  <c r="K235" i="2"/>
  <c r="S235" i="2"/>
  <c r="F127" i="6"/>
  <c r="AD3" i="5"/>
  <c r="E5" i="8" s="1"/>
  <c r="F15" i="5"/>
  <c r="F19" i="5" s="1"/>
  <c r="O127" i="6"/>
  <c r="AD10" i="5"/>
  <c r="E12" i="8" s="1"/>
  <c r="C15" i="5"/>
  <c r="C19" i="5" s="1"/>
  <c r="AD12" i="5"/>
  <c r="E14" i="8" s="1"/>
  <c r="AD18" i="5" l="1"/>
  <c r="P19" i="5"/>
  <c r="G3" i="8"/>
  <c r="K19" i="5"/>
  <c r="AD19" i="5" s="1"/>
  <c r="E17" i="8"/>
  <c r="AI235" i="2"/>
  <c r="AN80" i="2"/>
  <c r="O128" i="6"/>
  <c r="AD15" i="5"/>
  <c r="S126" i="6" s="1"/>
  <c r="S127" i="6" s="1"/>
  <c r="U129" i="6" s="1"/>
  <c r="H18" i="8" l="1"/>
  <c r="L38" i="6"/>
  <c r="L128" i="6" l="1"/>
</calcChain>
</file>

<file path=xl/sharedStrings.xml><?xml version="1.0" encoding="utf-8"?>
<sst xmlns="http://schemas.openxmlformats.org/spreadsheetml/2006/main" count="896" uniqueCount="305">
  <si>
    <t>PCI</t>
  </si>
  <si>
    <t>WUSAT</t>
  </si>
  <si>
    <t>EMAAR</t>
  </si>
  <si>
    <t>PRG</t>
  </si>
  <si>
    <t>MANDWAL</t>
  </si>
  <si>
    <t>J SONS</t>
  </si>
  <si>
    <t>CBR</t>
  </si>
  <si>
    <t>FREELINE</t>
  </si>
  <si>
    <t>DHA DENTAL CENTRE</t>
  </si>
  <si>
    <t>EXPENSE TYPE</t>
  </si>
  <si>
    <t>EXPENSE SUB - TYPE</t>
  </si>
  <si>
    <t>ENTRY NO.</t>
  </si>
  <si>
    <t>SER NO.</t>
  </si>
  <si>
    <t>DATE</t>
  </si>
  <si>
    <t>DETAIL/PARTICULAR</t>
  </si>
  <si>
    <t>EXPENDED/DISTRIBUTED BY</t>
  </si>
  <si>
    <t xml:space="preserve"> SALARIES PAID </t>
  </si>
  <si>
    <t>PAY</t>
  </si>
  <si>
    <t>SALARY</t>
  </si>
  <si>
    <t>DISTRIBUTION EXPENSE (PAY)</t>
  </si>
  <si>
    <t>NOVA ISB</t>
  </si>
  <si>
    <t>NOVA PSH</t>
  </si>
  <si>
    <t>NOVA CSD</t>
  </si>
  <si>
    <t>OFFICE</t>
  </si>
  <si>
    <t>TOTAL</t>
  </si>
  <si>
    <t>SGC-THALIAN</t>
  </si>
  <si>
    <t>68 HS</t>
  </si>
  <si>
    <t>RELEIVERS</t>
  </si>
  <si>
    <t>EXPENSE INCURRED ON SALARIES DISTRIBUTION</t>
  </si>
  <si>
    <t>PETTY EXPENSES</t>
  </si>
  <si>
    <t>TRAVEL EXPENSES</t>
  </si>
  <si>
    <t>TOTAL TRAVEL EXPENSE</t>
  </si>
  <si>
    <t>FOOD EXPENSES</t>
  </si>
  <si>
    <t>TOTAL FOOD EXPENSE</t>
  </si>
  <si>
    <t>TEABREAK EXPENSES</t>
  </si>
  <si>
    <t>TOTAL TEABREAK EXPENSE</t>
  </si>
  <si>
    <t>INVENTORY</t>
  </si>
  <si>
    <t>TOTAL INVENTORY EXPENSE</t>
  </si>
  <si>
    <t>TOTAL LEGAL EXPENSE</t>
  </si>
  <si>
    <t>STATIONERY EXPENSES</t>
  </si>
  <si>
    <t>TOTAL STATIONERY EXPENSE</t>
  </si>
  <si>
    <t>OVERHEAD EXPENSES</t>
  </si>
  <si>
    <t>EOBI PAYMENT</t>
  </si>
  <si>
    <t>TOTAL RENT UTILITIES &amp; INTERNET EXPENSE</t>
  </si>
  <si>
    <t>LEGAL EXPENSE</t>
  </si>
  <si>
    <t>TAX PAYMENT</t>
  </si>
  <si>
    <t xml:space="preserve">ADVANCE </t>
  </si>
  <si>
    <t>TOTAL ADVANCE PAYMENT</t>
  </si>
  <si>
    <t>GRAND TOTAL</t>
  </si>
  <si>
    <t>MISCELLENIOUS</t>
  </si>
  <si>
    <t>FUEL</t>
  </si>
  <si>
    <t>PURCHASE OF ACCESSORIES</t>
  </si>
  <si>
    <t>DRAWINGS</t>
  </si>
  <si>
    <t>TOTAL MISCELLENIOUS EXPENSE</t>
  </si>
  <si>
    <t>TOTAL DRAWINGS BY CEO / CFO</t>
  </si>
  <si>
    <t>PARTICULAR/ DETAIL</t>
  </si>
  <si>
    <t>IN CASH</t>
  </si>
  <si>
    <t>IN BANK</t>
  </si>
  <si>
    <t>DHA DENTAL LAB</t>
  </si>
  <si>
    <t>CFO'S ACCT</t>
  </si>
  <si>
    <t>BALANCE</t>
  </si>
  <si>
    <t>CASH</t>
  </si>
  <si>
    <t>FROM BANK</t>
  </si>
  <si>
    <t>FROM CASH</t>
  </si>
  <si>
    <t>TRANSFER INTER BANK</t>
  </si>
  <si>
    <t xml:space="preserve">IN CASH </t>
  </si>
  <si>
    <t>CEO</t>
  </si>
  <si>
    <t>CFO</t>
  </si>
  <si>
    <t>RECEIPT IN OFFICE</t>
  </si>
  <si>
    <t>CHEQUE</t>
  </si>
  <si>
    <t>EXPENSED</t>
  </si>
  <si>
    <t>SWEET PALACE</t>
  </si>
  <si>
    <t>BALANCE OF ACCTS</t>
  </si>
  <si>
    <t>REMARKS</t>
  </si>
  <si>
    <t xml:space="preserve">CO. SIM </t>
  </si>
  <si>
    <t>CO'S ACCT (ALLIED)</t>
  </si>
  <si>
    <t>CO'S ACCT (ASKARI)</t>
  </si>
  <si>
    <t>BBF</t>
  </si>
  <si>
    <t>IESSI</t>
  </si>
  <si>
    <t>PURCHASE OF EQUIPMENT</t>
  </si>
  <si>
    <t>UNIFORMS/ACCESSORIES</t>
  </si>
  <si>
    <t>INTERNET BILL</t>
  </si>
  <si>
    <t>TOTAL RENT OVERHEAD EXPENSES</t>
  </si>
  <si>
    <t>NOVA</t>
  </si>
  <si>
    <t>NOVA QTBL</t>
  </si>
  <si>
    <t>OFFICE RENT &amp; UTILITIES BILL (ISB)</t>
  </si>
  <si>
    <t>SGC THALIAN</t>
  </si>
  <si>
    <t>DIR OPS</t>
  </si>
  <si>
    <t>INNOVATIVE</t>
  </si>
  <si>
    <t>DATED</t>
  </si>
  <si>
    <t>PFM</t>
  </si>
  <si>
    <t>SGC SERVICES</t>
  </si>
  <si>
    <t>ALI SADAAT (MANDWAL, CHAKRI)</t>
  </si>
  <si>
    <t xml:space="preserve">TIGES </t>
  </si>
  <si>
    <t>Bin Zahid</t>
  </si>
  <si>
    <t>Inkling School</t>
  </si>
  <si>
    <t>INKLING</t>
  </si>
  <si>
    <t xml:space="preserve">INKLING </t>
  </si>
  <si>
    <t>AWT</t>
  </si>
  <si>
    <t>PURCHASE OF WEAPON AMMO</t>
  </si>
  <si>
    <t>PROFIT AND LOSS STATEMENT</t>
  </si>
  <si>
    <t>Revenue</t>
  </si>
  <si>
    <t>Expenses</t>
  </si>
  <si>
    <t>TOTAL EXPENSES</t>
  </si>
  <si>
    <t>INCOME RECEIVED</t>
  </si>
  <si>
    <t>PROFIT PER PROJECT</t>
  </si>
  <si>
    <t>PCI/PFM/68HS</t>
  </si>
  <si>
    <t>PROFIT</t>
  </si>
  <si>
    <t>PCI/PFM/68</t>
  </si>
  <si>
    <t>EMAAR ACCOMODATION RENT</t>
  </si>
  <si>
    <t>PROFIT /LOSS</t>
  </si>
  <si>
    <t>EMAAR FOOD</t>
  </si>
  <si>
    <t>CEO ACC</t>
  </si>
  <si>
    <t>MIU (AJK BANK)</t>
  </si>
  <si>
    <t>MIU INCLUDED</t>
  </si>
  <si>
    <t>PESSI</t>
  </si>
  <si>
    <t>SONERI ACC</t>
  </si>
  <si>
    <t>LEXUS</t>
  </si>
  <si>
    <t>PUNJAB LICENSE</t>
  </si>
  <si>
    <t>MIU/MOMT</t>
  </si>
  <si>
    <t>ELYSIUM</t>
  </si>
  <si>
    <t>PRA</t>
  </si>
  <si>
    <t>FBR</t>
  </si>
  <si>
    <t>AUDIT FEES</t>
  </si>
  <si>
    <t>APSSA</t>
  </si>
  <si>
    <t>TIGES SGC</t>
  </si>
  <si>
    <t>PREMIER SALES</t>
  </si>
  <si>
    <t>RISING SUN LODGES</t>
  </si>
  <si>
    <t>DOLMEN</t>
  </si>
  <si>
    <t>MR SALAAR</t>
  </si>
  <si>
    <t>RISING SUN</t>
  </si>
  <si>
    <t>MR SALAAR/Gulreiz</t>
  </si>
  <si>
    <t>TRANSFERRED TO AKBL</t>
  </si>
  <si>
    <t>SALARY OF 1X INKLING GUARD</t>
  </si>
  <si>
    <t xml:space="preserve">EOBI </t>
  </si>
  <si>
    <t xml:space="preserve">DOLMEN </t>
  </si>
  <si>
    <t>PETTY CASH REIMBURSED</t>
  </si>
  <si>
    <t>CASH/BANK INCOME STATE Sep 2026</t>
  </si>
  <si>
    <t>WEAPON PURCHASED</t>
  </si>
  <si>
    <t>PTA LICENSE RENEWAL FEES</t>
  </si>
  <si>
    <t>SALARY OF 53X EMAAR GDS</t>
  </si>
  <si>
    <t>SALARY OF 13X EMAAR GDS</t>
  </si>
  <si>
    <t>INSURANCE PAID FOR GUARDS 6 months</t>
  </si>
  <si>
    <t>SALARY 2X GDS SWEET PALACE</t>
  </si>
  <si>
    <t>SALARY OF 1X J SONS GD</t>
  </si>
  <si>
    <t>SALARY OF NOVA GD AUG AND SEP CLEARED</t>
  </si>
  <si>
    <t>BANK TRANSFER FOR AJK EXPENSES</t>
  </si>
  <si>
    <t>SALARY OF RELEIVER RIAZ</t>
  </si>
  <si>
    <t>SALARY OF GUL REHMAN</t>
  </si>
  <si>
    <t>SALARY OF RISING SUN 2X  GD</t>
  </si>
  <si>
    <t xml:space="preserve">SALARY OF MIU CAMP OFFICE </t>
  </si>
  <si>
    <t>SALARY OF 5X WUSAT GUARDS</t>
  </si>
  <si>
    <t>SALARY OF DHA DENTAL GUARD</t>
  </si>
  <si>
    <t>SALARY OF 4X AWT GUARDS</t>
  </si>
  <si>
    <t>AJK EXP</t>
  </si>
  <si>
    <t>SALARY OF 6X DOLMEN GDS</t>
  </si>
  <si>
    <t xml:space="preserve">SALARY OF LEXUS AND MIMC </t>
  </si>
  <si>
    <t>DEPOSIT FROM ABL</t>
  </si>
  <si>
    <t>CHEQUE FOR MIU SAL AND RENT?</t>
  </si>
  <si>
    <t>SALARY OF  5X OFFICE STAFF</t>
  </si>
  <si>
    <t>SALARY OF 3X DOLMEN GDS</t>
  </si>
  <si>
    <t>SALARY OF 1X WUSAT GD</t>
  </si>
  <si>
    <t>SALARY OF 4X EMAAR GDS</t>
  </si>
  <si>
    <t>EXCESS 5K FOR ZAMEER SHB BAL PAY AND 4K EXCESS  FROM SONERI CHEQUE</t>
  </si>
  <si>
    <t>SALARY OF 103X SALARY OF HMC GUARDS</t>
  </si>
  <si>
    <t>from 550k</t>
  </si>
  <si>
    <t>pci sal</t>
  </si>
  <si>
    <t>EOBI</t>
  </si>
  <si>
    <t>CASH RECEIVED TODAY</t>
  </si>
  <si>
    <t>PCI SALARIES</t>
  </si>
  <si>
    <t>CAMBRIDGE SALARIES</t>
  </si>
  <si>
    <t>CHEQUE ISSUED TRANSFERRED TO CFO</t>
  </si>
  <si>
    <t>CASH DEPOSIT FROM ABL IN CFO ACC</t>
  </si>
  <si>
    <t>SALARIES OF PCI</t>
  </si>
  <si>
    <t>CAMBRIDGE SCHOOL 1X GD SALARY</t>
  </si>
  <si>
    <t>CASH WITHDRAWEL</t>
  </si>
  <si>
    <t xml:space="preserve">PRA SALES TAX PAID </t>
  </si>
  <si>
    <t xml:space="preserve">FBR SALES TAX PAID </t>
  </si>
  <si>
    <t>RECEIVED FROM ABL ACC</t>
  </si>
  <si>
    <t>SALARY OF NOVA ISB GD USMAN HAIDER</t>
  </si>
  <si>
    <t>SADQA</t>
  </si>
  <si>
    <t>HMC TAXILA</t>
  </si>
  <si>
    <t>CBU TAXILA</t>
  </si>
  <si>
    <t>PRG SALARIES</t>
  </si>
  <si>
    <t>MANDWAAL SALARIES</t>
  </si>
  <si>
    <t>EMAAR FOOD BILL</t>
  </si>
  <si>
    <t>ADVANCE TO MURSALEEN KHAN NOVA CHD</t>
  </si>
  <si>
    <t>FED DEDUCTIONS AND SERVICE CHARGES</t>
  </si>
  <si>
    <t>SALARY OF 6X HMC GUARDS SALARY</t>
  </si>
  <si>
    <t>CASH/BANK WITHDRAWAL STATE SEP 2026</t>
  </si>
  <si>
    <t>SADQA 3x</t>
  </si>
  <si>
    <t>SALARY OF 2X HMC GUARDS</t>
  </si>
  <si>
    <t>ADVANCE TO NASIR ALI SGC THALIAN GUARD</t>
  </si>
  <si>
    <t>STATIONARY BILL FTM AUG 26</t>
  </si>
  <si>
    <t>TEA BILL</t>
  </si>
  <si>
    <t>KALOON CHEMICALS</t>
  </si>
  <si>
    <t>SGC SALARIES</t>
  </si>
  <si>
    <t xml:space="preserve">REL RIAZ TRAVEL BILL </t>
  </si>
  <si>
    <t>SAAD TRADER 50X UNIFORM FOR AJK</t>
  </si>
  <si>
    <t>SAAD TRADER 100X UNIFORM FOR ISB/RWP</t>
  </si>
  <si>
    <t>INSURANCE PAID FOR HMC GUARDS</t>
  </si>
  <si>
    <t>HMC</t>
  </si>
  <si>
    <t>SALARY OF BISMILLAH JAN NOVA PSH</t>
  </si>
  <si>
    <t>SALARY OF NOVA GD AUG AND SEP CLEARED NASEEM AWAN</t>
  </si>
  <si>
    <t>TEA BREAK AT OFFICE</t>
  </si>
  <si>
    <t xml:space="preserve">IJAZ VARIETY STORE </t>
  </si>
  <si>
    <t>COL NAUMAN SHARE PAYMENT</t>
  </si>
  <si>
    <t>SALARIES OF NOVA ISB</t>
  </si>
  <si>
    <t>SALARIES OF NOVA PSH</t>
  </si>
  <si>
    <t>SALARIES OF NOVA CHD</t>
  </si>
  <si>
    <t>ADVANCE TO PCI GD SARFARAZ</t>
  </si>
  <si>
    <t>ADVANCE TO EMAARR GD NADEEM AKHTAR</t>
  </si>
  <si>
    <t>ADVANCE TO PCI GD KASHIF RAZA</t>
  </si>
  <si>
    <t>SALARIES OF NOVA QTBL</t>
  </si>
  <si>
    <t>SALARY OF MUHAMMAD ZAMIR FTM SEP 26</t>
  </si>
  <si>
    <t>FUEL ALLOWANCES FTM SEP AND OCT 26</t>
  </si>
  <si>
    <t>KEYBOARD PURCHASED FOR OFFICE</t>
  </si>
  <si>
    <t>PAID TO ROSHAN SHB BY CFO</t>
  </si>
  <si>
    <t>MS OFFICE FEES</t>
  </si>
  <si>
    <t xml:space="preserve">COL NAUMAN SHARE PAYMENT </t>
  </si>
  <si>
    <t>RISING SUN RECEIVED</t>
  </si>
  <si>
    <t>90000 CASH CFO</t>
  </si>
  <si>
    <t xml:space="preserve">PAID TO GUL REHMAN </t>
  </si>
  <si>
    <t>60000 ASKARI BANK</t>
  </si>
  <si>
    <t>38000 ACCOUNT CFO</t>
  </si>
  <si>
    <t>244200 ASKARI BANK</t>
  </si>
  <si>
    <t>sadqa accounts</t>
  </si>
  <si>
    <t xml:space="preserve">0342-5199341 </t>
  </si>
  <si>
    <t xml:space="preserve">Qari Kabeer </t>
  </si>
  <si>
    <t>easypaise</t>
  </si>
  <si>
    <t>PK29HABB0009257900419103</t>
  </si>
  <si>
    <t>HBL</t>
  </si>
  <si>
    <t>WIFE OF DECEASED EMAAR GD</t>
  </si>
  <si>
    <t>0324-5712884</t>
  </si>
  <si>
    <t>ANJUM R/O ZAFAR</t>
  </si>
  <si>
    <t>ASKARI BANK</t>
  </si>
  <si>
    <t>PAID TO ZAFAR SHB</t>
  </si>
  <si>
    <t>PAID TO GUL REHMAN FOR HMC PESSI</t>
  </si>
  <si>
    <t>EXPENSE SHEET SUMMARY FTM SEP 2026</t>
  </si>
  <si>
    <t>01 Sept 2026</t>
  </si>
  <si>
    <t>Pistol (30 br) gifted to CBR GM.</t>
  </si>
  <si>
    <t>KALOON</t>
  </si>
  <si>
    <t>HMC/CBU</t>
  </si>
  <si>
    <t>Refreshment for staff and guest</t>
  </si>
  <si>
    <t>Bike oil change and brake</t>
  </si>
  <si>
    <t>Fuel expenses excess of fuel card</t>
  </si>
  <si>
    <t>HMC invoice courier charges</t>
  </si>
  <si>
    <t>Misc Expenses occurred during the MZD Visit</t>
  </si>
  <si>
    <t>03 Sept 2026</t>
  </si>
  <si>
    <t>GGS-PCI-GGS Visit by Gul Rehman for meeting with Col Arshad.</t>
  </si>
  <si>
    <t>Breakfast for Reli Saleem &amp; Lunch for Supv Zahid</t>
  </si>
  <si>
    <t>Lunch for CFO</t>
  </si>
  <si>
    <t>Refreshment for Office Staff (Tea)</t>
  </si>
  <si>
    <t>August 2026 invoice submitted to Dolmen, Karachi</t>
  </si>
  <si>
    <t>04 Sept 2026</t>
  </si>
  <si>
    <t>Bill No. 12 - Dinner by Gul &amp; Nosherwan.</t>
  </si>
  <si>
    <t>08 Sept 2026</t>
  </si>
  <si>
    <t>2 x soaps purchased for office washrooms</t>
  </si>
  <si>
    <t>09 Sept 2026</t>
  </si>
  <si>
    <t>Dustbin Shopping Bags purchased for HO</t>
  </si>
  <si>
    <t>Shoe repaired (Box-Park 3)</t>
  </si>
  <si>
    <t>10 Sept 2026</t>
  </si>
  <si>
    <t>Dispatched Sim (0333-1148102) to Mr Roshan Khan</t>
  </si>
  <si>
    <t>Dispatched Termination Letter to Supv Ikhlaq Iqbal, HMC, Taxila</t>
  </si>
  <si>
    <t>Dispatched Profile to Mr Roshan Khan, MZD</t>
  </si>
  <si>
    <t>Tea for Office Staff and Breakfast for Reliever at Inklings</t>
  </si>
  <si>
    <t>To Drop &amp; Pick Reliever (Inklings)</t>
  </si>
  <si>
    <t>11 Sept 2026</t>
  </si>
  <si>
    <t>Cleaning Mop &amp; Phenyle for Office</t>
  </si>
  <si>
    <t xml:space="preserve">CHEQUE FOR MIU SAL </t>
  </si>
  <si>
    <t>11/9/226</t>
  </si>
  <si>
    <t>OFFICE RENT</t>
  </si>
  <si>
    <t>12 Sept 2026</t>
  </si>
  <si>
    <t>Fuel in Office Bike</t>
  </si>
  <si>
    <t>13 Sept 2026</t>
  </si>
  <si>
    <t>Dinner/Tea for Reli Anjum</t>
  </si>
  <si>
    <t>14 Sept 2026</t>
  </si>
  <si>
    <t>PTCL BILL SEPT 2026 PAID</t>
  </si>
  <si>
    <t>Fuel in Office Bike for visits to EMAAR &amp; AWT (Card Limit Exceeded)</t>
  </si>
  <si>
    <t>Rs. 250 paid to Gd Akmal Mehmood (EMAAR) for performing 1 x day duty at AWT as Reliever.</t>
  </si>
  <si>
    <t>15 Sept 2026</t>
  </si>
  <si>
    <t>Fuel charges claimed by Supv Kashif Raza for 3 x visits to Zee Cambridge School, Gulraiz</t>
  </si>
  <si>
    <t>16 Sept 2026</t>
  </si>
  <si>
    <t>Fuel Charges (GGS-EMAAR-GGS)  / Meeting with the CEO</t>
  </si>
  <si>
    <t>17 Sept 2026</t>
  </si>
  <si>
    <t>Lunch for the CEO</t>
  </si>
  <si>
    <t>18 Sept 2026</t>
  </si>
  <si>
    <t>Snacks for Office Staff (Staff Meeting)</t>
  </si>
  <si>
    <t>Tea / Lunch for Office Staff / Guests</t>
  </si>
  <si>
    <t>19 Sept 2026</t>
  </si>
  <si>
    <t>Fuel charges claimed by Reli Riaz for August 2026 (multiple sites of ISB/RWP)</t>
  </si>
  <si>
    <t>21 Sept 2026</t>
  </si>
  <si>
    <t>1 x New Water Bottle for Office</t>
  </si>
  <si>
    <t>1 x water bottle for the CFO</t>
  </si>
  <si>
    <t>Refreshment for Office Staff</t>
  </si>
  <si>
    <t>1 x Belt and 1 x Cap purchased for Gd at AC's Residence (F-6/2, Islamabad)</t>
  </si>
  <si>
    <t>1 x Choke, 1 x Button, 1 x Tape for GGS Signboard</t>
  </si>
  <si>
    <t>22 Sept 2026</t>
  </si>
  <si>
    <t>2 x visits by Supv Said Maroof (University Town to Home Department, Civ Secretariat) - KP NOC</t>
  </si>
  <si>
    <t>Toilet Cleaner, Surf, Sponge, Lemon Max for Wahsrooms/Kitchen</t>
  </si>
  <si>
    <t>23 Sept 2026</t>
  </si>
  <si>
    <t>Refreshment for Dir PESSI Mr. Ibrar Chughtai (visted HO on 23/09/2026)</t>
  </si>
  <si>
    <t>25 Sept 2026</t>
  </si>
  <si>
    <t>Cold Drink for the CFO's guest.</t>
  </si>
  <si>
    <t>SAFDAR CAMBRIDGE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</si>
</sst>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u val="singleAccounting"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2"/>
      <name val="Aptos Narrow"/>
      <family val="2"/>
      <scheme val="minor"/>
    </font>
    <font>
      <b/>
      <sz val="18"/>
      <color theme="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9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5" fontId="0" fillId="0" borderId="4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165" fontId="0" fillId="0" borderId="0" xfId="0" applyNumberFormat="1"/>
    <xf numFmtId="0" fontId="3" fillId="0" borderId="0" xfId="0" applyFo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165" fontId="0" fillId="0" borderId="0" xfId="1" applyNumberFormat="1" applyFont="1" applyFill="1" applyBorder="1"/>
    <xf numFmtId="165" fontId="0" fillId="0" borderId="1" xfId="1" applyNumberFormat="1" applyFont="1" applyFill="1" applyBorder="1"/>
    <xf numFmtId="0" fontId="3" fillId="0" borderId="0" xfId="0" applyFont="1" applyAlignment="1">
      <alignment horizontal="center"/>
    </xf>
    <xf numFmtId="0" fontId="4" fillId="0" borderId="1" xfId="0" applyFont="1" applyBorder="1"/>
    <xf numFmtId="165" fontId="4" fillId="0" borderId="1" xfId="1" applyNumberFormat="1" applyFont="1" applyBorder="1"/>
    <xf numFmtId="165" fontId="3" fillId="0" borderId="1" xfId="1" applyNumberFormat="1" applyFont="1" applyBorder="1"/>
    <xf numFmtId="165" fontId="0" fillId="0" borderId="0" xfId="1" applyNumberFormat="1" applyFont="1"/>
    <xf numFmtId="165" fontId="3" fillId="0" borderId="0" xfId="1" applyNumberFormat="1" applyFont="1"/>
    <xf numFmtId="165" fontId="0" fillId="0" borderId="1" xfId="1" applyNumberFormat="1" applyFont="1" applyBorder="1" applyAlignment="1">
      <alignment horizontal="center"/>
    </xf>
    <xf numFmtId="165" fontId="0" fillId="0" borderId="3" xfId="1" applyNumberFormat="1" applyFont="1" applyFill="1" applyBorder="1"/>
    <xf numFmtId="165" fontId="0" fillId="0" borderId="2" xfId="1" applyNumberFormat="1" applyFont="1" applyFill="1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5" fontId="5" fillId="0" borderId="0" xfId="1" applyNumberFormat="1" applyFont="1" applyFill="1"/>
    <xf numFmtId="165" fontId="3" fillId="0" borderId="2" xfId="1" applyNumberFormat="1" applyFont="1" applyFill="1" applyBorder="1"/>
    <xf numFmtId="165" fontId="0" fillId="0" borderId="3" xfId="1" applyNumberFormat="1" applyFont="1" applyBorder="1"/>
    <xf numFmtId="165" fontId="0" fillId="0" borderId="4" xfId="1" applyNumberFormat="1" applyFont="1" applyFill="1" applyBorder="1"/>
    <xf numFmtId="165" fontId="0" fillId="0" borderId="1" xfId="1" applyNumberFormat="1" applyFont="1" applyFill="1" applyBorder="1" applyAlignment="1">
      <alignment horizontal="center"/>
    </xf>
    <xf numFmtId="165" fontId="0" fillId="0" borderId="0" xfId="1" applyNumberFormat="1" applyFont="1" applyBorder="1"/>
    <xf numFmtId="165" fontId="1" fillId="0" borderId="1" xfId="1" applyNumberFormat="1" applyFont="1" applyFill="1" applyBorder="1"/>
    <xf numFmtId="165" fontId="3" fillId="0" borderId="1" xfId="1" applyNumberFormat="1" applyFont="1" applyBorder="1" applyAlignment="1">
      <alignment horizontal="center"/>
    </xf>
    <xf numFmtId="165" fontId="3" fillId="0" borderId="2" xfId="1" applyNumberFormat="1" applyFont="1" applyBorder="1"/>
    <xf numFmtId="165" fontId="0" fillId="0" borderId="1" xfId="1" applyNumberFormat="1" applyFont="1" applyFill="1" applyBorder="1" applyAlignment="1">
      <alignment horizontal="left"/>
    </xf>
    <xf numFmtId="165" fontId="0" fillId="0" borderId="17" xfId="1" applyNumberFormat="1" applyFont="1" applyBorder="1"/>
    <xf numFmtId="165" fontId="0" fillId="0" borderId="20" xfId="1" applyNumberFormat="1" applyFont="1" applyBorder="1"/>
    <xf numFmtId="165" fontId="0" fillId="0" borderId="22" xfId="1" applyNumberFormat="1" applyFont="1" applyBorder="1"/>
    <xf numFmtId="165" fontId="0" fillId="0" borderId="23" xfId="1" applyNumberFormat="1" applyFont="1" applyBorder="1"/>
    <xf numFmtId="165" fontId="3" fillId="0" borderId="19" xfId="1" applyNumberFormat="1" applyFont="1" applyBorder="1"/>
    <xf numFmtId="165" fontId="3" fillId="0" borderId="0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165" fontId="0" fillId="0" borderId="16" xfId="1" applyNumberFormat="1" applyFont="1" applyBorder="1"/>
    <xf numFmtId="0" fontId="0" fillId="0" borderId="27" xfId="0" applyBorder="1"/>
    <xf numFmtId="165" fontId="0" fillId="0" borderId="14" xfId="1" applyNumberFormat="1" applyFont="1" applyBorder="1"/>
    <xf numFmtId="165" fontId="0" fillId="0" borderId="28" xfId="1" applyNumberFormat="1" applyFont="1" applyBorder="1"/>
    <xf numFmtId="165" fontId="0" fillId="0" borderId="26" xfId="1" applyNumberFormat="1" applyFont="1" applyBorder="1"/>
    <xf numFmtId="165" fontId="3" fillId="0" borderId="27" xfId="1" applyNumberFormat="1" applyFont="1" applyBorder="1"/>
    <xf numFmtId="165" fontId="0" fillId="5" borderId="8" xfId="1" applyNumberFormat="1" applyFont="1" applyFill="1" applyBorder="1"/>
    <xf numFmtId="165" fontId="3" fillId="5" borderId="9" xfId="1" applyNumberFormat="1" applyFont="1" applyFill="1" applyBorder="1" applyAlignment="1">
      <alignment vertical="top" wrapText="1"/>
    </xf>
    <xf numFmtId="165" fontId="3" fillId="5" borderId="7" xfId="1" applyNumberFormat="1" applyFont="1" applyFill="1" applyBorder="1"/>
    <xf numFmtId="165" fontId="0" fillId="0" borderId="0" xfId="1" applyNumberFormat="1" applyFont="1" applyFill="1"/>
    <xf numFmtId="165" fontId="2" fillId="7" borderId="29" xfId="1" applyNumberFormat="1" applyFont="1" applyFill="1" applyBorder="1" applyAlignment="1">
      <alignment horizontal="center" vertical="center"/>
    </xf>
    <xf numFmtId="165" fontId="2" fillId="7" borderId="29" xfId="1" applyNumberFormat="1" applyFont="1" applyFill="1" applyBorder="1"/>
    <xf numFmtId="165" fontId="2" fillId="7" borderId="31" xfId="1" applyNumberFormat="1" applyFont="1" applyFill="1" applyBorder="1"/>
    <xf numFmtId="14" fontId="0" fillId="0" borderId="1" xfId="0" applyNumberFormat="1" applyBorder="1" applyAlignment="1">
      <alignment horizontal="left"/>
    </xf>
    <xf numFmtId="165" fontId="3" fillId="0" borderId="0" xfId="1" applyNumberFormat="1" applyFont="1" applyBorder="1" applyAlignment="1">
      <alignment horizontal="center"/>
    </xf>
    <xf numFmtId="165" fontId="3" fillId="0" borderId="0" xfId="1" applyNumberFormat="1" applyFont="1" applyFill="1"/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14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3" fillId="0" borderId="1" xfId="0" applyFont="1" applyBorder="1"/>
    <xf numFmtId="165" fontId="14" fillId="0" borderId="0" xfId="1" applyNumberFormat="1" applyFont="1" applyBorder="1"/>
    <xf numFmtId="14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Fill="1" applyBorder="1" applyAlignment="1">
      <alignment horizontal="left"/>
    </xf>
    <xf numFmtId="165" fontId="0" fillId="0" borderId="0" xfId="1" applyNumberFormat="1" applyFont="1" applyFill="1" applyBorder="1" applyAlignment="1">
      <alignment horizontal="center"/>
    </xf>
    <xf numFmtId="165" fontId="15" fillId="0" borderId="0" xfId="1" applyNumberFormat="1" applyFont="1" applyBorder="1"/>
    <xf numFmtId="14" fontId="0" fillId="0" borderId="1" xfId="0" applyNumberFormat="1" applyBorder="1" applyAlignment="1">
      <alignment horizontal="center" vertical="center"/>
    </xf>
    <xf numFmtId="0" fontId="11" fillId="9" borderId="1" xfId="0" applyFont="1" applyFill="1" applyBorder="1"/>
    <xf numFmtId="0" fontId="0" fillId="9" borderId="1" xfId="0" applyFill="1" applyBorder="1"/>
    <xf numFmtId="14" fontId="0" fillId="0" borderId="1" xfId="1" applyNumberFormat="1" applyFont="1" applyFill="1" applyBorder="1"/>
    <xf numFmtId="165" fontId="0" fillId="9" borderId="1" xfId="1" applyNumberFormat="1" applyFont="1" applyFill="1" applyBorder="1" applyAlignment="1">
      <alignment horizontal="left"/>
    </xf>
    <xf numFmtId="0" fontId="17" fillId="11" borderId="1" xfId="0" applyFont="1" applyFill="1" applyBorder="1"/>
    <xf numFmtId="0" fontId="16" fillId="11" borderId="1" xfId="0" applyFont="1" applyFill="1" applyBorder="1"/>
    <xf numFmtId="0" fontId="5" fillId="0" borderId="0" xfId="0" applyFont="1"/>
    <xf numFmtId="0" fontId="17" fillId="0" borderId="0" xfId="0" applyFont="1"/>
    <xf numFmtId="165" fontId="0" fillId="10" borderId="2" xfId="1" applyNumberFormat="1" applyFont="1" applyFill="1" applyBorder="1"/>
    <xf numFmtId="165" fontId="0" fillId="0" borderId="5" xfId="1" applyNumberFormat="1" applyFont="1" applyBorder="1"/>
    <xf numFmtId="165" fontId="3" fillId="0" borderId="35" xfId="1" applyNumberFormat="1" applyFont="1" applyBorder="1" applyAlignment="1">
      <alignment horizontal="center" vertical="center"/>
    </xf>
    <xf numFmtId="165" fontId="0" fillId="0" borderId="38" xfId="1" applyNumberFormat="1" applyFont="1" applyFill="1" applyBorder="1"/>
    <xf numFmtId="165" fontId="0" fillId="0" borderId="31" xfId="1" applyNumberFormat="1" applyFont="1" applyFill="1" applyBorder="1"/>
    <xf numFmtId="165" fontId="3" fillId="0" borderId="6" xfId="1" applyNumberFormat="1" applyFont="1" applyBorder="1"/>
    <xf numFmtId="165" fontId="0" fillId="0" borderId="39" xfId="1" applyNumberFormat="1" applyFont="1" applyFill="1" applyBorder="1"/>
    <xf numFmtId="165" fontId="3" fillId="0" borderId="42" xfId="1" applyNumberFormat="1" applyFont="1" applyBorder="1"/>
    <xf numFmtId="165" fontId="3" fillId="0" borderId="43" xfId="1" applyNumberFormat="1" applyFont="1" applyBorder="1"/>
    <xf numFmtId="165" fontId="3" fillId="0" borderId="44" xfId="1" applyNumberFormat="1" applyFont="1" applyBorder="1"/>
    <xf numFmtId="165" fontId="0" fillId="0" borderId="3" xfId="1" applyNumberFormat="1" applyFont="1" applyBorder="1" applyAlignment="1">
      <alignment horizontal="center"/>
    </xf>
    <xf numFmtId="165" fontId="0" fillId="0" borderId="35" xfId="1" applyNumberFormat="1" applyFont="1" applyBorder="1"/>
    <xf numFmtId="165" fontId="0" fillId="0" borderId="38" xfId="1" applyNumberFormat="1" applyFont="1" applyBorder="1"/>
    <xf numFmtId="165" fontId="0" fillId="0" borderId="31" xfId="1" applyNumberFormat="1" applyFont="1" applyBorder="1"/>
    <xf numFmtId="0" fontId="0" fillId="0" borderId="35" xfId="0" applyBorder="1"/>
    <xf numFmtId="0" fontId="0" fillId="0" borderId="45" xfId="0" applyBorder="1"/>
    <xf numFmtId="0" fontId="0" fillId="0" borderId="46" xfId="0" applyBorder="1"/>
    <xf numFmtId="0" fontId="0" fillId="0" borderId="38" xfId="0" applyBorder="1"/>
    <xf numFmtId="0" fontId="0" fillId="0" borderId="36" xfId="0" applyBorder="1"/>
    <xf numFmtId="165" fontId="3" fillId="0" borderId="43" xfId="1" applyNumberFormat="1" applyFont="1" applyFill="1" applyBorder="1"/>
    <xf numFmtId="165" fontId="3" fillId="0" borderId="44" xfId="1" applyNumberFormat="1" applyFont="1" applyFill="1" applyBorder="1"/>
    <xf numFmtId="165" fontId="3" fillId="0" borderId="40" xfId="1" applyNumberFormat="1" applyFont="1" applyBorder="1" applyAlignment="1">
      <alignment horizontal="center" vertical="center"/>
    </xf>
    <xf numFmtId="165" fontId="3" fillId="0" borderId="41" xfId="1" applyNumberFormat="1" applyFont="1" applyBorder="1" applyAlignment="1">
      <alignment horizontal="center" vertical="center"/>
    </xf>
    <xf numFmtId="165" fontId="3" fillId="0" borderId="42" xfId="1" applyNumberFormat="1" applyFont="1" applyBorder="1" applyAlignment="1">
      <alignment horizontal="center" vertical="center"/>
    </xf>
    <xf numFmtId="165" fontId="3" fillId="0" borderId="47" xfId="1" applyNumberFormat="1" applyFont="1" applyBorder="1" applyAlignment="1">
      <alignment horizontal="center" vertical="center"/>
    </xf>
    <xf numFmtId="165" fontId="3" fillId="0" borderId="29" xfId="1" applyNumberFormat="1" applyFont="1" applyBorder="1" applyAlignment="1">
      <alignment horizontal="center" vertical="center"/>
    </xf>
    <xf numFmtId="165" fontId="3" fillId="0" borderId="48" xfId="1" applyNumberFormat="1" applyFont="1" applyBorder="1" applyAlignment="1">
      <alignment horizontal="center" vertical="center"/>
    </xf>
    <xf numFmtId="165" fontId="3" fillId="0" borderId="43" xfId="1" applyNumberFormat="1" applyFont="1" applyBorder="1" applyAlignment="1">
      <alignment horizontal="center" vertical="center"/>
    </xf>
    <xf numFmtId="165" fontId="0" fillId="0" borderId="12" xfId="1" applyNumberFormat="1" applyFont="1" applyBorder="1"/>
    <xf numFmtId="165" fontId="0" fillId="0" borderId="12" xfId="1" applyNumberFormat="1" applyFont="1" applyFill="1" applyBorder="1"/>
    <xf numFmtId="165" fontId="0" fillId="0" borderId="45" xfId="1" applyNumberFormat="1" applyFont="1" applyBorder="1"/>
    <xf numFmtId="165" fontId="0" fillId="0" borderId="39" xfId="1" applyNumberFormat="1" applyFont="1" applyBorder="1"/>
    <xf numFmtId="165" fontId="0" fillId="0" borderId="36" xfId="1" applyNumberFormat="1" applyFont="1" applyFill="1" applyBorder="1"/>
    <xf numFmtId="165" fontId="3" fillId="0" borderId="15" xfId="1" applyNumberFormat="1" applyFont="1" applyBorder="1"/>
    <xf numFmtId="165" fontId="3" fillId="0" borderId="38" xfId="1" applyNumberFormat="1" applyFont="1" applyBorder="1" applyAlignment="1">
      <alignment horizontal="center" vertical="center"/>
    </xf>
    <xf numFmtId="165" fontId="0" fillId="0" borderId="38" xfId="1" applyNumberFormat="1" applyFont="1" applyBorder="1" applyAlignment="1">
      <alignment horizontal="center" vertical="center"/>
    </xf>
    <xf numFmtId="165" fontId="1" fillId="0" borderId="38" xfId="1" applyNumberFormat="1" applyFont="1" applyBorder="1" applyAlignment="1">
      <alignment horizontal="center" vertical="center"/>
    </xf>
    <xf numFmtId="165" fontId="3" fillId="0" borderId="31" xfId="1" applyNumberFormat="1" applyFont="1" applyBorder="1" applyAlignment="1">
      <alignment horizontal="center" vertical="center"/>
    </xf>
    <xf numFmtId="165" fontId="0" fillId="0" borderId="5" xfId="1" applyNumberFormat="1" applyFont="1" applyFill="1" applyBorder="1"/>
    <xf numFmtId="165" fontId="0" fillId="0" borderId="35" xfId="1" applyNumberFormat="1" applyFont="1" applyFill="1" applyBorder="1"/>
    <xf numFmtId="165" fontId="0" fillId="0" borderId="45" xfId="1" applyNumberFormat="1" applyFont="1" applyFill="1" applyBorder="1"/>
    <xf numFmtId="165" fontId="3" fillId="0" borderId="13" xfId="1" applyNumberFormat="1" applyFont="1" applyFill="1" applyBorder="1"/>
    <xf numFmtId="165" fontId="0" fillId="0" borderId="35" xfId="1" applyNumberFormat="1" applyFont="1" applyBorder="1" applyAlignment="1">
      <alignment horizontal="center" vertical="center"/>
    </xf>
    <xf numFmtId="165" fontId="0" fillId="0" borderId="45" xfId="1" applyNumberFormat="1" applyFont="1" applyBorder="1" applyAlignment="1">
      <alignment horizontal="center" vertical="center"/>
    </xf>
    <xf numFmtId="165" fontId="0" fillId="0" borderId="36" xfId="1" applyNumberFormat="1" applyFont="1" applyBorder="1" applyAlignment="1">
      <alignment horizontal="center" vertical="center"/>
    </xf>
    <xf numFmtId="14" fontId="0" fillId="0" borderId="35" xfId="1" applyNumberFormat="1" applyFont="1" applyBorder="1" applyAlignment="1">
      <alignment horizontal="center" vertical="center"/>
    </xf>
    <xf numFmtId="14" fontId="0" fillId="0" borderId="38" xfId="1" applyNumberFormat="1" applyFont="1" applyBorder="1" applyAlignment="1">
      <alignment horizontal="center" vertical="center"/>
    </xf>
    <xf numFmtId="14" fontId="0" fillId="0" borderId="31" xfId="1" applyNumberFormat="1" applyFont="1" applyBorder="1" applyAlignment="1">
      <alignment horizontal="center" vertical="center"/>
    </xf>
    <xf numFmtId="165" fontId="0" fillId="0" borderId="35" xfId="1" applyNumberFormat="1" applyFont="1" applyBorder="1" applyAlignment="1">
      <alignment horizontal="center"/>
    </xf>
    <xf numFmtId="165" fontId="0" fillId="0" borderId="45" xfId="1" applyNumberFormat="1" applyFont="1" applyBorder="1" applyAlignment="1">
      <alignment horizontal="center"/>
    </xf>
    <xf numFmtId="14" fontId="0" fillId="0" borderId="35" xfId="1" applyNumberFormat="1" applyFont="1" applyFill="1" applyBorder="1"/>
    <xf numFmtId="165" fontId="0" fillId="0" borderId="3" xfId="1" applyNumberFormat="1" applyFont="1" applyBorder="1" applyAlignment="1">
      <alignment horizontal="left"/>
    </xf>
    <xf numFmtId="165" fontId="0" fillId="0" borderId="38" xfId="1" applyNumberFormat="1" applyFont="1" applyFill="1" applyBorder="1" applyAlignment="1">
      <alignment horizontal="left"/>
    </xf>
    <xf numFmtId="165" fontId="0" fillId="0" borderId="45" xfId="1" applyNumberFormat="1" applyFont="1" applyFill="1" applyBorder="1" applyAlignment="1">
      <alignment horizontal="left"/>
    </xf>
    <xf numFmtId="165" fontId="0" fillId="0" borderId="45" xfId="1" applyNumberFormat="1" applyFont="1" applyBorder="1" applyAlignment="1">
      <alignment horizontal="left"/>
    </xf>
    <xf numFmtId="165" fontId="0" fillId="0" borderId="36" xfId="1" applyNumberFormat="1" applyFont="1" applyBorder="1" applyAlignment="1">
      <alignment horizontal="left"/>
    </xf>
    <xf numFmtId="165" fontId="1" fillId="0" borderId="45" xfId="1" applyNumberFormat="1" applyFont="1" applyBorder="1"/>
    <xf numFmtId="165" fontId="1" fillId="0" borderId="45" xfId="1" applyNumberFormat="1" applyFont="1" applyFill="1" applyBorder="1"/>
    <xf numFmtId="165" fontId="1" fillId="0" borderId="36" xfId="1" applyNumberFormat="1" applyFont="1" applyFill="1" applyBorder="1"/>
    <xf numFmtId="165" fontId="0" fillId="0" borderId="49" xfId="1" applyNumberFormat="1" applyFont="1" applyFill="1" applyBorder="1" applyAlignment="1">
      <alignment horizontal="center"/>
    </xf>
    <xf numFmtId="165" fontId="0" fillId="0" borderId="50" xfId="1" applyNumberFormat="1" applyFont="1" applyFill="1" applyBorder="1"/>
    <xf numFmtId="165" fontId="0" fillId="0" borderId="49" xfId="1" applyNumberFormat="1" applyFont="1" applyFill="1" applyBorder="1"/>
    <xf numFmtId="165" fontId="0" fillId="0" borderId="51" xfId="1" applyNumberFormat="1" applyFont="1" applyFill="1" applyBorder="1" applyAlignment="1">
      <alignment horizontal="center"/>
    </xf>
    <xf numFmtId="165" fontId="0" fillId="0" borderId="53" xfId="1" applyNumberFormat="1" applyFont="1" applyFill="1" applyBorder="1" applyAlignment="1">
      <alignment horizontal="center"/>
    </xf>
    <xf numFmtId="165" fontId="0" fillId="0" borderId="50" xfId="1" applyNumberFormat="1" applyFont="1" applyBorder="1"/>
    <xf numFmtId="165" fontId="0" fillId="0" borderId="24" xfId="1" applyNumberFormat="1" applyFont="1" applyFill="1" applyBorder="1" applyAlignment="1">
      <alignment horizontal="center"/>
    </xf>
    <xf numFmtId="165" fontId="0" fillId="0" borderId="56" xfId="1" applyNumberFormat="1" applyFont="1" applyFill="1" applyBorder="1" applyAlignment="1">
      <alignment horizontal="center"/>
    </xf>
    <xf numFmtId="165" fontId="0" fillId="0" borderId="56" xfId="1" applyNumberFormat="1" applyFont="1" applyFill="1" applyBorder="1"/>
    <xf numFmtId="165" fontId="0" fillId="0" borderId="57" xfId="1" applyNumberFormat="1" applyFont="1" applyFill="1" applyBorder="1" applyAlignment="1">
      <alignment horizontal="center"/>
    </xf>
    <xf numFmtId="165" fontId="0" fillId="0" borderId="27" xfId="1" applyNumberFormat="1" applyFont="1" applyFill="1" applyBorder="1" applyAlignment="1">
      <alignment horizontal="center"/>
    </xf>
    <xf numFmtId="165" fontId="3" fillId="0" borderId="56" xfId="1" applyNumberFormat="1" applyFont="1" applyFill="1" applyBorder="1" applyAlignment="1">
      <alignment horizontal="center"/>
    </xf>
    <xf numFmtId="165" fontId="4" fillId="0" borderId="56" xfId="1" applyNumberFormat="1" applyFont="1" applyFill="1" applyBorder="1" applyAlignment="1">
      <alignment horizontal="center"/>
    </xf>
    <xf numFmtId="165" fontId="1" fillId="0" borderId="56" xfId="1" applyNumberFormat="1" applyFont="1" applyFill="1" applyBorder="1" applyAlignment="1">
      <alignment horizontal="center"/>
    </xf>
    <xf numFmtId="165" fontId="3" fillId="0" borderId="56" xfId="1" applyNumberFormat="1" applyFont="1" applyBorder="1"/>
    <xf numFmtId="165" fontId="3" fillId="0" borderId="58" xfId="1" applyNumberFormat="1" applyFont="1" applyBorder="1"/>
    <xf numFmtId="165" fontId="0" fillId="0" borderId="35" xfId="1" applyNumberFormat="1" applyFont="1" applyFill="1" applyBorder="1" applyAlignment="1">
      <alignment horizontal="center"/>
    </xf>
    <xf numFmtId="165" fontId="0" fillId="0" borderId="45" xfId="1" applyNumberFormat="1" applyFont="1" applyFill="1" applyBorder="1" applyAlignment="1">
      <alignment horizontal="center"/>
    </xf>
    <xf numFmtId="165" fontId="0" fillId="0" borderId="39" xfId="1" applyNumberFormat="1" applyFont="1" applyFill="1" applyBorder="1" applyAlignment="1">
      <alignment horizontal="center"/>
    </xf>
    <xf numFmtId="165" fontId="0" fillId="0" borderId="46" xfId="1" applyNumberFormat="1" applyFont="1" applyFill="1" applyBorder="1" applyAlignment="1">
      <alignment horizontal="center"/>
    </xf>
    <xf numFmtId="165" fontId="0" fillId="0" borderId="38" xfId="1" applyNumberFormat="1" applyFont="1" applyFill="1" applyBorder="1" applyAlignment="1">
      <alignment horizontal="center"/>
    </xf>
    <xf numFmtId="165" fontId="0" fillId="0" borderId="45" xfId="1" applyNumberFormat="1" applyFont="1" applyFill="1" applyBorder="1" applyAlignment="1">
      <alignment horizontal="left" indent="5"/>
    </xf>
    <xf numFmtId="165" fontId="1" fillId="0" borderId="45" xfId="1" applyNumberFormat="1" applyFont="1" applyFill="1" applyBorder="1" applyAlignment="1">
      <alignment horizontal="center"/>
    </xf>
    <xf numFmtId="165" fontId="1" fillId="0" borderId="45" xfId="1" applyNumberFormat="1" applyFont="1" applyBorder="1" applyAlignment="1">
      <alignment horizontal="center"/>
    </xf>
    <xf numFmtId="165" fontId="0" fillId="0" borderId="36" xfId="1" applyNumberFormat="1" applyFont="1" applyBorder="1"/>
    <xf numFmtId="165" fontId="1" fillId="0" borderId="49" xfId="1" applyNumberFormat="1" applyFont="1" applyFill="1" applyBorder="1"/>
    <xf numFmtId="165" fontId="0" fillId="0" borderId="24" xfId="1" applyNumberFormat="1" applyFont="1" applyFill="1" applyBorder="1"/>
    <xf numFmtId="165" fontId="1" fillId="0" borderId="56" xfId="1" applyNumberFormat="1" applyFont="1" applyFill="1" applyBorder="1"/>
    <xf numFmtId="165" fontId="0" fillId="0" borderId="56" xfId="1" applyNumberFormat="1" applyFont="1" applyBorder="1"/>
    <xf numFmtId="165" fontId="0" fillId="0" borderId="58" xfId="1" applyNumberFormat="1" applyFont="1" applyBorder="1"/>
    <xf numFmtId="165" fontId="0" fillId="0" borderId="26" xfId="1" applyNumberFormat="1" applyFont="1" applyFill="1" applyBorder="1"/>
    <xf numFmtId="165" fontId="0" fillId="0" borderId="59" xfId="1" applyNumberFormat="1" applyFont="1" applyFill="1" applyBorder="1"/>
    <xf numFmtId="165" fontId="1" fillId="0" borderId="59" xfId="1" applyNumberFormat="1" applyFont="1" applyFill="1" applyBorder="1"/>
    <xf numFmtId="165" fontId="1" fillId="0" borderId="59" xfId="1" applyNumberFormat="1" applyFont="1" applyBorder="1"/>
    <xf numFmtId="165" fontId="0" fillId="0" borderId="59" xfId="1" applyNumberFormat="1" applyFont="1" applyBorder="1"/>
    <xf numFmtId="165" fontId="0" fillId="0" borderId="60" xfId="1" applyNumberFormat="1" applyFont="1" applyBorder="1"/>
    <xf numFmtId="165" fontId="1" fillId="0" borderId="56" xfId="1" applyNumberFormat="1" applyFont="1" applyBorder="1"/>
    <xf numFmtId="165" fontId="1" fillId="0" borderId="36" xfId="1" applyNumberFormat="1" applyFont="1" applyBorder="1"/>
    <xf numFmtId="165" fontId="0" fillId="0" borderId="25" xfId="1" applyNumberFormat="1" applyFont="1" applyFill="1" applyBorder="1"/>
    <xf numFmtId="165" fontId="1" fillId="0" borderId="5" xfId="1" applyNumberFormat="1" applyFont="1" applyFill="1" applyBorder="1"/>
    <xf numFmtId="165" fontId="1" fillId="0" borderId="5" xfId="1" applyNumberFormat="1" applyFont="1" applyBorder="1"/>
    <xf numFmtId="165" fontId="0" fillId="0" borderId="62" xfId="1" applyNumberFormat="1" applyFont="1" applyBorder="1"/>
    <xf numFmtId="165" fontId="1" fillId="0" borderId="35" xfId="1" applyNumberFormat="1" applyFont="1" applyBorder="1"/>
    <xf numFmtId="165" fontId="3" fillId="0" borderId="3" xfId="1" applyNumberFormat="1" applyFont="1" applyBorder="1"/>
    <xf numFmtId="165" fontId="3" fillId="0" borderId="42" xfId="1" applyNumberFormat="1" applyFont="1" applyFill="1" applyBorder="1"/>
    <xf numFmtId="165" fontId="0" fillId="0" borderId="50" xfId="1" applyNumberFormat="1" applyFont="1" applyFill="1" applyBorder="1" applyAlignment="1">
      <alignment horizontal="center" vertical="center"/>
    </xf>
    <xf numFmtId="165" fontId="0" fillId="0" borderId="53" xfId="1" applyNumberFormat="1" applyFont="1" applyBorder="1"/>
    <xf numFmtId="165" fontId="3" fillId="0" borderId="49" xfId="1" applyNumberFormat="1" applyFont="1" applyBorder="1" applyAlignment="1">
      <alignment horizontal="center"/>
    </xf>
    <xf numFmtId="165" fontId="9" fillId="0" borderId="50" xfId="1" applyNumberFormat="1" applyFont="1" applyBorder="1"/>
    <xf numFmtId="165" fontId="7" fillId="0" borderId="55" xfId="1" applyNumberFormat="1" applyFont="1" applyBorder="1"/>
    <xf numFmtId="165" fontId="8" fillId="4" borderId="53" xfId="1" applyNumberFormat="1" applyFont="1" applyFill="1" applyBorder="1" applyAlignment="1">
      <alignment horizontal="center" vertical="center"/>
    </xf>
    <xf numFmtId="165" fontId="8" fillId="4" borderId="2" xfId="1" applyNumberFormat="1" applyFont="1" applyFill="1" applyBorder="1" applyAlignment="1">
      <alignment horizontal="center" vertical="center"/>
    </xf>
    <xf numFmtId="165" fontId="8" fillId="4" borderId="54" xfId="1" applyNumberFormat="1" applyFont="1" applyFill="1" applyBorder="1" applyAlignment="1">
      <alignment horizontal="center" vertical="center"/>
    </xf>
    <xf numFmtId="165" fontId="0" fillId="13" borderId="56" xfId="1" applyNumberFormat="1" applyFont="1" applyFill="1" applyBorder="1" applyAlignment="1">
      <alignment horizontal="center"/>
    </xf>
    <xf numFmtId="14" fontId="0" fillId="13" borderId="38" xfId="1" applyNumberFormat="1" applyFont="1" applyFill="1" applyBorder="1" applyAlignment="1">
      <alignment horizontal="center" vertical="center"/>
    </xf>
    <xf numFmtId="165" fontId="0" fillId="13" borderId="45" xfId="1" applyNumberFormat="1" applyFont="1" applyFill="1" applyBorder="1" applyAlignment="1">
      <alignment horizontal="center"/>
    </xf>
    <xf numFmtId="14" fontId="0" fillId="0" borderId="1" xfId="1" applyNumberFormat="1" applyFont="1" applyBorder="1" applyAlignment="1">
      <alignment horizontal="center" vertical="center"/>
    </xf>
    <xf numFmtId="165" fontId="0" fillId="5" borderId="1" xfId="0" applyNumberFormat="1" applyFill="1" applyBorder="1"/>
    <xf numFmtId="14" fontId="0" fillId="0" borderId="38" xfId="1" applyNumberFormat="1" applyFont="1" applyFill="1" applyBorder="1" applyAlignment="1">
      <alignment horizontal="center" vertical="center"/>
    </xf>
    <xf numFmtId="0" fontId="4" fillId="0" borderId="45" xfId="0" applyFont="1" applyBorder="1"/>
    <xf numFmtId="0" fontId="4" fillId="0" borderId="56" xfId="0" applyFont="1" applyBorder="1"/>
    <xf numFmtId="14" fontId="4" fillId="0" borderId="45" xfId="0" applyNumberFormat="1" applyFont="1" applyBorder="1" applyAlignment="1">
      <alignment horizontal="center"/>
    </xf>
    <xf numFmtId="165" fontId="4" fillId="0" borderId="1" xfId="1" applyNumberFormat="1" applyFont="1" applyFill="1" applyBorder="1" applyAlignment="1">
      <alignment horizontal="center"/>
    </xf>
    <xf numFmtId="165" fontId="0" fillId="0" borderId="10" xfId="1" applyNumberFormat="1" applyFont="1" applyBorder="1"/>
    <xf numFmtId="165" fontId="3" fillId="0" borderId="48" xfId="1" applyNumberFormat="1" applyFont="1" applyBorder="1"/>
    <xf numFmtId="0" fontId="0" fillId="13" borderId="45" xfId="0" applyFill="1" applyBorder="1"/>
    <xf numFmtId="165" fontId="0" fillId="13" borderId="38" xfId="1" applyNumberFormat="1" applyFont="1" applyFill="1" applyBorder="1"/>
    <xf numFmtId="165" fontId="0" fillId="13" borderId="56" xfId="1" applyNumberFormat="1" applyFont="1" applyFill="1" applyBorder="1"/>
    <xf numFmtId="165" fontId="0" fillId="13" borderId="45" xfId="1" applyNumberFormat="1" applyFont="1" applyFill="1" applyBorder="1"/>
    <xf numFmtId="165" fontId="0" fillId="13" borderId="59" xfId="1" applyNumberFormat="1" applyFont="1" applyFill="1" applyBorder="1"/>
    <xf numFmtId="165" fontId="0" fillId="8" borderId="56" xfId="1" applyNumberFormat="1" applyFont="1" applyFill="1" applyBorder="1"/>
    <xf numFmtId="165" fontId="0" fillId="0" borderId="19" xfId="1" applyNumberFormat="1" applyFont="1" applyFill="1" applyBorder="1"/>
    <xf numFmtId="165" fontId="0" fillId="0" borderId="27" xfId="1" applyNumberFormat="1" applyFont="1" applyFill="1" applyBorder="1"/>
    <xf numFmtId="165" fontId="0" fillId="0" borderId="58" xfId="1" applyNumberFormat="1" applyFont="1" applyFill="1" applyBorder="1"/>
    <xf numFmtId="14" fontId="0" fillId="0" borderId="0" xfId="1" applyNumberFormat="1" applyFont="1"/>
    <xf numFmtId="165" fontId="1" fillId="8" borderId="45" xfId="1" applyNumberFormat="1" applyFont="1" applyFill="1" applyBorder="1"/>
    <xf numFmtId="165" fontId="0" fillId="0" borderId="1" xfId="1" applyNumberFormat="1" applyFont="1" applyBorder="1" applyAlignment="1">
      <alignment horizontal="left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4" fillId="3" borderId="1" xfId="0" applyFont="1" applyFill="1" applyBorder="1"/>
    <xf numFmtId="0" fontId="12" fillId="0" borderId="1" xfId="0" applyFont="1" applyBorder="1"/>
    <xf numFmtId="14" fontId="0" fillId="0" borderId="1" xfId="1" applyNumberFormat="1" applyFont="1" applyFill="1" applyBorder="1" applyAlignment="1">
      <alignment horizontal="center" vertical="center"/>
    </xf>
    <xf numFmtId="165" fontId="16" fillId="12" borderId="1" xfId="0" applyNumberFormat="1" applyFont="1" applyFill="1" applyBorder="1"/>
    <xf numFmtId="0" fontId="17" fillId="12" borderId="1" xfId="0" applyFont="1" applyFill="1" applyBorder="1"/>
    <xf numFmtId="165" fontId="16" fillId="12" borderId="1" xfId="1" applyNumberFormat="1" applyFont="1" applyFill="1" applyBorder="1"/>
    <xf numFmtId="0" fontId="16" fillId="12" borderId="1" xfId="0" applyFont="1" applyFill="1" applyBorder="1"/>
    <xf numFmtId="0" fontId="4" fillId="9" borderId="1" xfId="0" applyFont="1" applyFill="1" applyBorder="1"/>
    <xf numFmtId="0" fontId="0" fillId="8" borderId="1" xfId="0" applyFill="1" applyBorder="1"/>
    <xf numFmtId="165" fontId="2" fillId="2" borderId="1" xfId="1" applyNumberFormat="1" applyFont="1" applyFill="1" applyBorder="1"/>
    <xf numFmtId="165" fontId="2" fillId="2" borderId="1" xfId="0" applyNumberFormat="1" applyFont="1" applyFill="1" applyBorder="1"/>
    <xf numFmtId="165" fontId="3" fillId="0" borderId="58" xfId="1" applyNumberFormat="1" applyFont="1" applyBorder="1" applyAlignment="1">
      <alignment horizontal="center"/>
    </xf>
    <xf numFmtId="165" fontId="3" fillId="0" borderId="61" xfId="1" applyNumberFormat="1" applyFont="1" applyBorder="1" applyAlignment="1">
      <alignment horizontal="center"/>
    </xf>
    <xf numFmtId="165" fontId="7" fillId="0" borderId="52" xfId="1" applyNumberFormat="1" applyFont="1" applyBorder="1" applyAlignment="1">
      <alignment horizontal="center" vertical="center"/>
    </xf>
    <xf numFmtId="165" fontId="7" fillId="0" borderId="54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5" fontId="7" fillId="0" borderId="51" xfId="1" applyNumberFormat="1" applyFont="1" applyBorder="1" applyAlignment="1">
      <alignment horizontal="center" vertical="center"/>
    </xf>
    <xf numFmtId="165" fontId="7" fillId="0" borderId="53" xfId="1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8" xfId="1" applyNumberFormat="1" applyFont="1" applyBorder="1" applyAlignment="1">
      <alignment horizontal="center"/>
    </xf>
    <xf numFmtId="165" fontId="15" fillId="0" borderId="40" xfId="1" applyNumberFormat="1" applyFont="1" applyBorder="1" applyAlignment="1">
      <alignment horizontal="center"/>
    </xf>
    <xf numFmtId="165" fontId="15" fillId="0" borderId="0" xfId="1" applyNumberFormat="1" applyFont="1" applyBorder="1" applyAlignment="1">
      <alignment horizontal="center"/>
    </xf>
    <xf numFmtId="165" fontId="15" fillId="0" borderId="41" xfId="1" applyNumberFormat="1" applyFont="1" applyBorder="1" applyAlignment="1">
      <alignment horizontal="center"/>
    </xf>
    <xf numFmtId="165" fontId="18" fillId="6" borderId="37" xfId="1" applyNumberFormat="1" applyFont="1" applyFill="1" applyBorder="1" applyAlignment="1">
      <alignment horizontal="center"/>
    </xf>
    <xf numFmtId="165" fontId="18" fillId="6" borderId="32" xfId="1" applyNumberFormat="1" applyFont="1" applyFill="1" applyBorder="1" applyAlignment="1">
      <alignment horizontal="center"/>
    </xf>
    <xf numFmtId="165" fontId="18" fillId="6" borderId="33" xfId="1" applyNumberFormat="1" applyFont="1" applyFill="1" applyBorder="1" applyAlignment="1">
      <alignment horizontal="center"/>
    </xf>
    <xf numFmtId="165" fontId="18" fillId="6" borderId="34" xfId="1" applyNumberFormat="1" applyFont="1" applyFill="1" applyBorder="1" applyAlignment="1">
      <alignment horizontal="center"/>
    </xf>
    <xf numFmtId="165" fontId="2" fillId="7" borderId="30" xfId="1" applyNumberFormat="1" applyFont="1" applyFill="1" applyBorder="1" applyAlignment="1">
      <alignment horizontal="center" vertical="center"/>
    </xf>
    <xf numFmtId="165" fontId="2" fillId="7" borderId="31" xfId="1" applyNumberFormat="1" applyFont="1" applyFill="1" applyBorder="1" applyAlignment="1">
      <alignment horizontal="center" vertical="center"/>
    </xf>
    <xf numFmtId="165" fontId="2" fillId="7" borderId="35" xfId="1" applyNumberFormat="1" applyFont="1" applyFill="1" applyBorder="1" applyAlignment="1">
      <alignment horizontal="center" vertical="center"/>
    </xf>
    <xf numFmtId="165" fontId="2" fillId="7" borderId="36" xfId="1" applyNumberFormat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/>
    </xf>
    <xf numFmtId="165" fontId="3" fillId="0" borderId="40" xfId="1" applyNumberFormat="1" applyFont="1" applyBorder="1" applyAlignment="1">
      <alignment horizontal="center"/>
    </xf>
    <xf numFmtId="165" fontId="3" fillId="0" borderId="42" xfId="1" applyNumberFormat="1" applyFont="1" applyBorder="1" applyAlignment="1">
      <alignment horizontal="center"/>
    </xf>
    <xf numFmtId="165" fontId="3" fillId="0" borderId="43" xfId="1" applyNumberFormat="1" applyFont="1" applyBorder="1" applyAlignment="1">
      <alignment horizontal="center"/>
    </xf>
    <xf numFmtId="165" fontId="3" fillId="0" borderId="47" xfId="1" applyNumberFormat="1" applyFont="1" applyBorder="1" applyAlignment="1">
      <alignment horizontal="center"/>
    </xf>
    <xf numFmtId="165" fontId="3" fillId="0" borderId="40" xfId="1" applyNumberFormat="1" applyFont="1" applyBorder="1" applyAlignment="1">
      <alignment horizontal="center" vertical="center"/>
    </xf>
    <xf numFmtId="165" fontId="3" fillId="0" borderId="41" xfId="1" applyNumberFormat="1" applyFon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10" xfId="1" applyNumberFormat="1" applyFont="1" applyBorder="1" applyAlignment="1">
      <alignment horizontal="center"/>
    </xf>
    <xf numFmtId="165" fontId="0" fillId="0" borderId="16" xfId="1" applyNumberFormat="1" applyFont="1" applyBorder="1" applyAlignment="1">
      <alignment horizontal="center"/>
    </xf>
    <xf numFmtId="165" fontId="0" fillId="0" borderId="17" xfId="1" applyNumberFormat="1" applyFont="1" applyBorder="1" applyAlignment="1">
      <alignment horizontal="center"/>
    </xf>
    <xf numFmtId="165" fontId="0" fillId="0" borderId="18" xfId="1" applyNumberFormat="1" applyFont="1" applyBorder="1" applyAlignment="1">
      <alignment horizontal="center"/>
    </xf>
    <xf numFmtId="165" fontId="0" fillId="0" borderId="21" xfId="1" applyNumberFormat="1" applyFont="1" applyBorder="1" applyAlignment="1">
      <alignment horizontal="center"/>
    </xf>
    <xf numFmtId="165" fontId="0" fillId="0" borderId="22" xfId="1" applyNumberFormat="1" applyFont="1" applyBorder="1" applyAlignment="1">
      <alignment horizontal="center"/>
    </xf>
    <xf numFmtId="165" fontId="0" fillId="0" borderId="23" xfId="1" applyNumberFormat="1" applyFont="1" applyBorder="1" applyAlignment="1">
      <alignment horizontal="center"/>
    </xf>
    <xf numFmtId="165" fontId="2" fillId="7" borderId="7" xfId="1" applyNumberFormat="1" applyFont="1" applyFill="1" applyBorder="1" applyAlignment="1">
      <alignment horizontal="center" vertical="center"/>
    </xf>
    <xf numFmtId="165" fontId="2" fillId="7" borderId="8" xfId="1" applyNumberFormat="1" applyFont="1" applyFill="1" applyBorder="1" applyAlignment="1">
      <alignment horizontal="center" vertical="center"/>
    </xf>
    <xf numFmtId="165" fontId="2" fillId="7" borderId="9" xfId="1" applyNumberFormat="1" applyFont="1" applyFill="1" applyBorder="1" applyAlignment="1">
      <alignment horizontal="center" vertical="center"/>
    </xf>
    <xf numFmtId="165" fontId="2" fillId="7" borderId="7" xfId="1" applyNumberFormat="1" applyFont="1" applyFill="1" applyBorder="1" applyAlignment="1">
      <alignment horizontal="center"/>
    </xf>
    <xf numFmtId="165" fontId="2" fillId="7" borderId="8" xfId="1" applyNumberFormat="1" applyFont="1" applyFill="1" applyBorder="1" applyAlignment="1">
      <alignment horizontal="center"/>
    </xf>
    <xf numFmtId="165" fontId="2" fillId="7" borderId="9" xfId="1" applyNumberFormat="1" applyFont="1" applyFill="1" applyBorder="1" applyAlignment="1">
      <alignment horizontal="center"/>
    </xf>
    <xf numFmtId="165" fontId="19" fillId="7" borderId="7" xfId="1" applyNumberFormat="1" applyFont="1" applyFill="1" applyBorder="1" applyAlignment="1">
      <alignment horizontal="center"/>
    </xf>
    <xf numFmtId="165" fontId="19" fillId="7" borderId="8" xfId="1" applyNumberFormat="1" applyFont="1" applyFill="1" applyBorder="1" applyAlignment="1">
      <alignment horizontal="center"/>
    </xf>
    <xf numFmtId="165" fontId="19" fillId="7" borderId="9" xfId="1" applyNumberFormat="1" applyFont="1" applyFill="1" applyBorder="1" applyAlignment="1">
      <alignment horizontal="center"/>
    </xf>
    <xf numFmtId="165" fontId="0" fillId="0" borderId="56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/>
    </xf>
    <xf numFmtId="165" fontId="0" fillId="0" borderId="15" xfId="1" applyNumberFormat="1" applyFont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11" borderId="7" xfId="0" applyFont="1" applyFill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6" fillId="11" borderId="18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165" fontId="0" fillId="0" borderId="19" xfId="1" applyNumberFormat="1" applyFont="1" applyBorder="1" applyAlignment="1">
      <alignment horizontal="center"/>
    </xf>
    <xf numFmtId="165" fontId="3" fillId="0" borderId="21" xfId="1" applyNumberFormat="1" applyFont="1" applyBorder="1" applyAlignment="1">
      <alignment horizontal="center"/>
    </xf>
    <xf numFmtId="165" fontId="3" fillId="0" borderId="22" xfId="1" applyNumberFormat="1" applyFont="1" applyBorder="1" applyAlignment="1">
      <alignment horizontal="center"/>
    </xf>
    <xf numFmtId="165" fontId="3" fillId="5" borderId="16" xfId="1" applyNumberFormat="1" applyFont="1" applyFill="1" applyBorder="1" applyAlignment="1">
      <alignment horizontal="center"/>
    </xf>
    <xf numFmtId="165" fontId="3" fillId="5" borderId="17" xfId="1" applyNumberFormat="1" applyFont="1" applyFill="1" applyBorder="1" applyAlignment="1">
      <alignment horizontal="center"/>
    </xf>
    <xf numFmtId="165" fontId="3" fillId="5" borderId="18" xfId="1" applyNumberFormat="1" applyFont="1" applyFill="1" applyBorder="1" applyAlignment="1">
      <alignment horizontal="center"/>
    </xf>
    <xf numFmtId="165" fontId="3" fillId="0" borderId="24" xfId="1" applyNumberFormat="1" applyFont="1" applyBorder="1" applyAlignment="1">
      <alignment horizontal="left"/>
    </xf>
    <xf numFmtId="165" fontId="3" fillId="0" borderId="25" xfId="1" applyNumberFormat="1" applyFont="1" applyBorder="1" applyAlignment="1">
      <alignment horizontal="left"/>
    </xf>
    <xf numFmtId="165" fontId="0" fillId="0" borderId="17" xfId="1" applyNumberFormat="1" applyFont="1" applyBorder="1" applyAlignment="1">
      <alignment horizontal="left"/>
    </xf>
    <xf numFmtId="165" fontId="0" fillId="0" borderId="18" xfId="1" applyNumberFormat="1" applyFont="1" applyBorder="1" applyAlignment="1">
      <alignment horizontal="left"/>
    </xf>
  </cellXfs>
  <cellStyles count="9">
    <cellStyle name="Comma" xfId="1" builtinId="3"/>
    <cellStyle name="Comma 2" xfId="2" xr:uid="{B1242302-E3E2-4321-84E3-2108569F3854}"/>
    <cellStyle name="Comma 3" xfId="3" xr:uid="{7E30B988-7B26-4887-BD5D-8F5D74B6C4B7}"/>
    <cellStyle name="Comma 4" xfId="4" xr:uid="{9E724F5F-62BE-4A06-91C3-254BE6D55770}"/>
    <cellStyle name="Comma 5" xfId="5" xr:uid="{E893255C-FCE3-43F7-B4E1-51DF5E9B7F26}"/>
    <cellStyle name="Comma 6" xfId="6" xr:uid="{2D915CCB-BDEB-4348-A218-9EF5FD016E56}"/>
    <cellStyle name="Comma 7" xfId="7" xr:uid="{7A527E1F-1481-46AB-B46E-2839D3AB378B}"/>
    <cellStyle name="Comma 8" xfId="8" xr:uid="{F4BE0F0D-74E0-460E-AB90-02D413DD328E}"/>
    <cellStyle name="Normal" xfId="0" builtinId="0"/>
  </cellStyles>
  <dxfs count="0"/>
  <tableStyles count="0" defaultTableStyle="TableStyleMedium2" defaultPivotStyle="PivotStyleLight16"/>
  <colors>
    <mruColors>
      <color rgb="FFFF5050"/>
      <color rgb="FFFD9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EAB6-D4A2-4EC7-B96D-655AF72C88C1}">
  <sheetPr>
    <pageSetUpPr fitToPage="1"/>
  </sheetPr>
  <dimension ref="A1:AC140"/>
  <sheetViews>
    <sheetView topLeftCell="A11" zoomScale="80" zoomScaleNormal="62" workbookViewId="0">
      <selection activeCell="E15" sqref="E15"/>
    </sheetView>
  </sheetViews>
  <sheetFormatPr defaultColWidth="8.77734375" defaultRowHeight="14.4" x14ac:dyDescent="0.3"/>
  <cols>
    <col min="1" max="1" width="7.88671875" style="23" bestFit="1" customWidth="1"/>
    <col min="2" max="2" width="11.21875" style="23" customWidth="1"/>
    <col min="3" max="3" width="70.109375" style="23" bestFit="1" customWidth="1"/>
    <col min="4" max="4" width="12.77734375" style="23" bestFit="1" customWidth="1"/>
    <col min="5" max="5" width="14.88671875" style="23" bestFit="1" customWidth="1"/>
    <col min="6" max="6" width="12.77734375" style="23" bestFit="1" customWidth="1"/>
    <col min="7" max="7" width="11.21875" style="23" bestFit="1" customWidth="1"/>
    <col min="8" max="8" width="12.77734375" style="23" bestFit="1" customWidth="1"/>
    <col min="9" max="9" width="8.21875" style="23" customWidth="1"/>
    <col min="10" max="10" width="19.88671875" style="23" bestFit="1" customWidth="1"/>
    <col min="11" max="11" width="20.109375" style="23" bestFit="1" customWidth="1"/>
    <col min="12" max="12" width="22.33203125" style="23" bestFit="1" customWidth="1"/>
    <col min="13" max="13" width="13.88671875" style="23" bestFit="1" customWidth="1"/>
    <col min="14" max="14" width="13.88671875" style="23" customWidth="1"/>
    <col min="15" max="15" width="12.77734375" style="23" bestFit="1" customWidth="1"/>
    <col min="16" max="16" width="8.77734375" style="23"/>
    <col min="17" max="17" width="13.5546875" style="23" bestFit="1" customWidth="1"/>
    <col min="18" max="18" width="15.33203125" style="23" customWidth="1"/>
    <col min="19" max="19" width="14.21875" style="23" bestFit="1" customWidth="1"/>
    <col min="20" max="20" width="13.33203125" style="23" bestFit="1" customWidth="1"/>
    <col min="21" max="21" width="11.5546875" style="23" bestFit="1" customWidth="1"/>
    <col min="22" max="22" width="18.33203125" style="23" customWidth="1"/>
    <col min="23" max="23" width="14" style="23" bestFit="1" customWidth="1"/>
    <col min="24" max="24" width="8.77734375" style="23"/>
    <col min="25" max="25" width="10.6640625" style="23" bestFit="1" customWidth="1"/>
    <col min="26" max="26" width="25.77734375" style="23" bestFit="1" customWidth="1"/>
    <col min="27" max="27" width="8.77734375" style="23"/>
    <col min="28" max="28" width="10.21875" style="23" bestFit="1" customWidth="1"/>
    <col min="29" max="16384" width="8.77734375" style="23"/>
  </cols>
  <sheetData>
    <row r="1" spans="1:20" ht="24" thickBot="1" x14ac:dyDescent="0.5">
      <c r="A1" s="251" t="s">
        <v>137</v>
      </c>
      <c r="B1" s="252"/>
      <c r="C1" s="252"/>
      <c r="D1" s="252"/>
      <c r="E1" s="252"/>
      <c r="F1" s="252"/>
      <c r="G1" s="252"/>
      <c r="H1" s="252"/>
      <c r="I1" s="252"/>
      <c r="J1" s="252"/>
      <c r="K1" s="253"/>
      <c r="L1" s="253"/>
      <c r="M1" s="253"/>
      <c r="N1" s="253"/>
      <c r="O1" s="254"/>
    </row>
    <row r="2" spans="1:20" ht="15" thickBot="1" x14ac:dyDescent="0.35">
      <c r="A2" s="257" t="s">
        <v>12</v>
      </c>
      <c r="B2" s="257" t="s">
        <v>89</v>
      </c>
      <c r="C2" s="257" t="s">
        <v>55</v>
      </c>
      <c r="D2" s="255" t="s">
        <v>65</v>
      </c>
      <c r="E2" s="255" t="s">
        <v>57</v>
      </c>
      <c r="F2" s="255" t="s">
        <v>24</v>
      </c>
      <c r="G2" s="278" t="s">
        <v>56</v>
      </c>
      <c r="H2" s="279"/>
      <c r="I2" s="280"/>
      <c r="J2" s="281" t="s">
        <v>57</v>
      </c>
      <c r="K2" s="282"/>
      <c r="L2" s="282"/>
      <c r="M2" s="282"/>
      <c r="N2" s="283"/>
      <c r="O2" s="255" t="s">
        <v>24</v>
      </c>
    </row>
    <row r="3" spans="1:20" ht="15" thickBot="1" x14ac:dyDescent="0.35">
      <c r="A3" s="258"/>
      <c r="B3" s="258"/>
      <c r="C3" s="258"/>
      <c r="D3" s="256"/>
      <c r="E3" s="256"/>
      <c r="F3" s="256"/>
      <c r="G3" s="60" t="s">
        <v>66</v>
      </c>
      <c r="H3" s="60" t="s">
        <v>67</v>
      </c>
      <c r="I3" s="60" t="s">
        <v>87</v>
      </c>
      <c r="J3" s="62" t="s">
        <v>75</v>
      </c>
      <c r="K3" s="61" t="s">
        <v>76</v>
      </c>
      <c r="L3" s="61" t="s">
        <v>59</v>
      </c>
      <c r="M3" s="62" t="s">
        <v>112</v>
      </c>
      <c r="N3" s="62" t="s">
        <v>116</v>
      </c>
      <c r="O3" s="256"/>
      <c r="Q3" s="24"/>
    </row>
    <row r="4" spans="1:20" ht="15" thickBot="1" x14ac:dyDescent="0.35">
      <c r="A4" s="264" t="s">
        <v>77</v>
      </c>
      <c r="B4" s="265"/>
      <c r="C4" s="109"/>
      <c r="D4" s="111"/>
      <c r="E4" s="112"/>
      <c r="F4" s="113"/>
      <c r="G4" s="114"/>
      <c r="H4" s="115"/>
      <c r="I4" s="115"/>
      <c r="J4" s="107">
        <v>707902</v>
      </c>
      <c r="K4" s="96">
        <v>3620818</v>
      </c>
      <c r="L4" s="23">
        <v>-334707</v>
      </c>
      <c r="M4" s="96">
        <v>55555</v>
      </c>
      <c r="N4" s="97">
        <v>775855</v>
      </c>
      <c r="O4" s="110"/>
      <c r="Q4" s="24"/>
      <c r="R4" s="23">
        <v>-1119514</v>
      </c>
    </row>
    <row r="5" spans="1:20" ht="15" thickBot="1" x14ac:dyDescent="0.35">
      <c r="A5" s="130">
        <v>1</v>
      </c>
      <c r="B5" s="133">
        <v>46267</v>
      </c>
      <c r="C5" s="102" t="s">
        <v>1</v>
      </c>
      <c r="D5" s="52">
        <v>264000</v>
      </c>
      <c r="E5" s="99"/>
      <c r="F5" s="91">
        <f t="shared" ref="F5:F26" si="0">SUM(D5:E5)</f>
        <v>264000</v>
      </c>
      <c r="G5" s="99">
        <v>264000</v>
      </c>
      <c r="H5" s="90"/>
      <c r="I5" s="90"/>
      <c r="J5" s="127"/>
      <c r="K5" s="173"/>
      <c r="L5" s="127"/>
      <c r="M5" s="127"/>
      <c r="N5" s="127"/>
      <c r="O5" s="99">
        <f>SUM(G5:N5)</f>
        <v>264000</v>
      </c>
      <c r="R5" s="47" t="s">
        <v>106</v>
      </c>
      <c r="S5" s="48"/>
      <c r="T5" s="49">
        <f>F28+F26+F13</f>
        <v>646000</v>
      </c>
    </row>
    <row r="6" spans="1:20" x14ac:dyDescent="0.3">
      <c r="A6" s="131">
        <v>2</v>
      </c>
      <c r="B6" s="134">
        <v>46279</v>
      </c>
      <c r="C6" s="103" t="s">
        <v>120</v>
      </c>
      <c r="D6" s="89"/>
      <c r="E6" s="118">
        <v>36000</v>
      </c>
      <c r="F6" s="91">
        <f t="shared" si="0"/>
        <v>36000</v>
      </c>
      <c r="G6" s="118"/>
      <c r="H6" s="122"/>
      <c r="I6" s="122"/>
      <c r="J6" s="128"/>
      <c r="K6" s="155"/>
      <c r="L6" s="128">
        <v>36000</v>
      </c>
      <c r="M6" s="91"/>
      <c r="N6" s="91"/>
      <c r="O6" s="100">
        <f t="shared" ref="O6:O36" si="1">SUM(G6:N6)</f>
        <v>36000</v>
      </c>
    </row>
    <row r="7" spans="1:20" x14ac:dyDescent="0.3">
      <c r="A7" s="123">
        <v>3</v>
      </c>
      <c r="B7" s="134">
        <v>46275</v>
      </c>
      <c r="C7" s="103" t="s">
        <v>2</v>
      </c>
      <c r="D7" s="89"/>
      <c r="E7" s="118">
        <v>4754162</v>
      </c>
      <c r="F7" s="91">
        <f t="shared" si="0"/>
        <v>4754162</v>
      </c>
      <c r="G7" s="118"/>
      <c r="H7" s="122"/>
      <c r="I7" s="122"/>
      <c r="J7" s="128"/>
      <c r="K7" s="155">
        <v>4754162</v>
      </c>
      <c r="L7" s="128"/>
      <c r="M7" s="91"/>
      <c r="N7" s="91"/>
      <c r="O7" s="100">
        <f t="shared" si="1"/>
        <v>4754162</v>
      </c>
      <c r="R7" s="23">
        <v>-1119514</v>
      </c>
    </row>
    <row r="8" spans="1:20" x14ac:dyDescent="0.3">
      <c r="A8" s="131">
        <v>4</v>
      </c>
      <c r="B8" s="134">
        <v>46273</v>
      </c>
      <c r="C8" s="103" t="s">
        <v>58</v>
      </c>
      <c r="D8" s="89"/>
      <c r="E8" s="118">
        <v>35000</v>
      </c>
      <c r="F8" s="91">
        <f t="shared" si="0"/>
        <v>35000</v>
      </c>
      <c r="G8" s="119"/>
      <c r="H8" s="122"/>
      <c r="I8" s="122"/>
      <c r="J8" s="128"/>
      <c r="K8" s="217">
        <v>500</v>
      </c>
      <c r="L8" s="128">
        <v>35000</v>
      </c>
      <c r="M8" s="91"/>
      <c r="N8" s="91"/>
      <c r="O8" s="100">
        <f t="shared" si="1"/>
        <v>35500</v>
      </c>
    </row>
    <row r="9" spans="1:20" x14ac:dyDescent="0.3">
      <c r="A9" s="131">
        <v>5</v>
      </c>
      <c r="B9" s="134">
        <v>46279</v>
      </c>
      <c r="C9" s="103" t="s">
        <v>157</v>
      </c>
      <c r="E9" s="118">
        <v>0</v>
      </c>
      <c r="F9" s="91">
        <f t="shared" si="0"/>
        <v>0</v>
      </c>
      <c r="G9" s="118"/>
      <c r="H9" s="122"/>
      <c r="I9" s="122"/>
      <c r="J9" s="128"/>
      <c r="K9" s="155">
        <v>250000</v>
      </c>
      <c r="L9" s="128"/>
      <c r="M9" s="91"/>
      <c r="N9" s="91"/>
      <c r="O9" s="100">
        <f t="shared" si="1"/>
        <v>250000</v>
      </c>
    </row>
    <row r="10" spans="1:20" x14ac:dyDescent="0.3">
      <c r="A10" s="123">
        <v>6</v>
      </c>
      <c r="B10" s="134">
        <v>46279</v>
      </c>
      <c r="C10" s="103" t="s">
        <v>172</v>
      </c>
      <c r="D10" s="89"/>
      <c r="E10" s="118"/>
      <c r="F10" s="91">
        <f t="shared" si="0"/>
        <v>0</v>
      </c>
      <c r="G10" s="118"/>
      <c r="H10" s="122"/>
      <c r="I10" s="122"/>
      <c r="J10" s="128"/>
      <c r="K10" s="155">
        <v>0</v>
      </c>
      <c r="L10" s="128">
        <v>550000</v>
      </c>
      <c r="M10" s="91"/>
      <c r="N10" s="91"/>
      <c r="O10" s="100">
        <f t="shared" si="1"/>
        <v>550000</v>
      </c>
    </row>
    <row r="11" spans="1:20" x14ac:dyDescent="0.3">
      <c r="A11" s="131">
        <v>7</v>
      </c>
      <c r="B11" s="134">
        <v>46272</v>
      </c>
      <c r="C11" s="103" t="s">
        <v>113</v>
      </c>
      <c r="D11" s="89"/>
      <c r="E11" s="118">
        <v>1246511</v>
      </c>
      <c r="F11" s="91">
        <f t="shared" si="0"/>
        <v>1246511</v>
      </c>
      <c r="G11" s="118"/>
      <c r="H11" s="122"/>
      <c r="I11" s="122"/>
      <c r="J11" s="128"/>
      <c r="K11" s="155"/>
      <c r="L11" s="128"/>
      <c r="M11" s="91"/>
      <c r="N11" s="91">
        <v>1246511</v>
      </c>
      <c r="O11" s="100">
        <f t="shared" si="1"/>
        <v>1246511</v>
      </c>
    </row>
    <row r="12" spans="1:20" x14ac:dyDescent="0.3">
      <c r="A12" s="131">
        <v>8</v>
      </c>
      <c r="B12" s="134">
        <v>46266</v>
      </c>
      <c r="C12" s="103" t="s">
        <v>6</v>
      </c>
      <c r="D12" s="89"/>
      <c r="E12" s="118">
        <f>214272*2</f>
        <v>428544</v>
      </c>
      <c r="F12" s="91">
        <f t="shared" si="0"/>
        <v>428544</v>
      </c>
      <c r="G12" s="118"/>
      <c r="H12" s="123"/>
      <c r="I12" s="122"/>
      <c r="J12" s="128"/>
      <c r="K12" s="155"/>
      <c r="L12" s="128"/>
      <c r="M12" s="91"/>
      <c r="N12" s="91">
        <v>428544</v>
      </c>
      <c r="O12" s="100">
        <f t="shared" si="1"/>
        <v>428544</v>
      </c>
      <c r="R12" s="23">
        <f>264000-55000</f>
        <v>209000</v>
      </c>
    </row>
    <row r="13" spans="1:20" x14ac:dyDescent="0.3">
      <c r="A13" s="123">
        <v>9</v>
      </c>
      <c r="B13" s="134">
        <v>46273</v>
      </c>
      <c r="C13" s="103" t="s">
        <v>26</v>
      </c>
      <c r="D13" s="89"/>
      <c r="E13" s="118">
        <v>204000</v>
      </c>
      <c r="F13" s="91">
        <f t="shared" si="0"/>
        <v>204000</v>
      </c>
      <c r="G13" s="118"/>
      <c r="H13" s="122"/>
      <c r="I13" s="122"/>
      <c r="J13" s="128"/>
      <c r="K13" s="218"/>
      <c r="L13" s="128">
        <v>204000</v>
      </c>
      <c r="M13" s="91"/>
      <c r="N13" s="91"/>
      <c r="O13" s="100">
        <f t="shared" si="1"/>
        <v>204000</v>
      </c>
      <c r="R13" s="23">
        <f>R12-157668</f>
        <v>51332</v>
      </c>
    </row>
    <row r="14" spans="1:20" x14ac:dyDescent="0.3">
      <c r="A14" s="131">
        <v>10</v>
      </c>
      <c r="B14" s="134">
        <v>46287</v>
      </c>
      <c r="C14" s="103" t="s">
        <v>195</v>
      </c>
      <c r="D14" s="23">
        <v>24000</v>
      </c>
      <c r="E14" s="118"/>
      <c r="F14" s="91">
        <f t="shared" si="0"/>
        <v>24000</v>
      </c>
      <c r="G14" s="119"/>
      <c r="H14" s="122"/>
      <c r="I14" s="122"/>
      <c r="J14" s="128"/>
      <c r="K14" s="155"/>
      <c r="L14" s="128">
        <v>24000</v>
      </c>
      <c r="M14" s="91"/>
      <c r="N14" s="91"/>
      <c r="O14" s="100">
        <f t="shared" si="1"/>
        <v>24000</v>
      </c>
    </row>
    <row r="15" spans="1:20" x14ac:dyDescent="0.3">
      <c r="A15" s="131">
        <v>11</v>
      </c>
      <c r="B15" s="134">
        <v>46286</v>
      </c>
      <c r="C15" s="103" t="s">
        <v>181</v>
      </c>
      <c r="D15" s="89"/>
      <c r="E15" s="155">
        <v>4629379</v>
      </c>
      <c r="F15" s="91">
        <f t="shared" si="0"/>
        <v>4629379</v>
      </c>
      <c r="G15" s="118"/>
      <c r="H15" s="118"/>
      <c r="I15" s="122"/>
      <c r="J15" s="128"/>
      <c r="K15" s="155">
        <v>4629379</v>
      </c>
      <c r="L15" s="91"/>
      <c r="M15" s="91"/>
      <c r="N15" s="91"/>
      <c r="O15" s="100">
        <f t="shared" si="1"/>
        <v>4629379</v>
      </c>
    </row>
    <row r="16" spans="1:20" x14ac:dyDescent="0.3">
      <c r="A16" s="123">
        <v>12</v>
      </c>
      <c r="B16" s="134">
        <v>46294</v>
      </c>
      <c r="C16" s="103" t="s">
        <v>83</v>
      </c>
      <c r="D16" s="89">
        <v>1900000</v>
      </c>
      <c r="E16" s="118"/>
      <c r="F16" s="91">
        <f t="shared" si="0"/>
        <v>1900000</v>
      </c>
      <c r="G16" s="118">
        <v>1900000</v>
      </c>
      <c r="H16" s="122"/>
      <c r="I16" s="122"/>
      <c r="J16" s="128"/>
      <c r="K16" s="155"/>
      <c r="L16" s="128"/>
      <c r="M16" s="91"/>
      <c r="N16" s="91"/>
      <c r="O16" s="100">
        <f t="shared" si="1"/>
        <v>1900000</v>
      </c>
    </row>
    <row r="17" spans="1:15" x14ac:dyDescent="0.3">
      <c r="A17" s="131">
        <v>13</v>
      </c>
      <c r="B17" s="134">
        <v>46282</v>
      </c>
      <c r="C17" s="103" t="s">
        <v>5</v>
      </c>
      <c r="D17" s="89"/>
      <c r="E17" s="118">
        <v>38500</v>
      </c>
      <c r="F17" s="91">
        <f t="shared" si="0"/>
        <v>38500</v>
      </c>
      <c r="G17" s="118"/>
      <c r="H17" s="122"/>
      <c r="I17" s="122"/>
      <c r="J17" s="128"/>
      <c r="K17" s="155"/>
      <c r="L17" s="128">
        <v>38500</v>
      </c>
      <c r="M17" s="91"/>
      <c r="N17" s="91"/>
      <c r="O17" s="100">
        <f t="shared" si="1"/>
        <v>38500</v>
      </c>
    </row>
    <row r="18" spans="1:15" x14ac:dyDescent="0.3">
      <c r="A18" s="131">
        <v>14</v>
      </c>
      <c r="B18" s="134">
        <v>46287</v>
      </c>
      <c r="C18" s="103" t="s">
        <v>131</v>
      </c>
      <c r="D18" s="89"/>
      <c r="E18" s="118"/>
      <c r="F18" s="91">
        <f t="shared" si="0"/>
        <v>0</v>
      </c>
      <c r="G18" s="118"/>
      <c r="H18" s="122"/>
      <c r="I18" s="122"/>
      <c r="J18" s="128"/>
      <c r="K18" s="155"/>
      <c r="L18" s="128"/>
      <c r="M18" s="91"/>
      <c r="N18" s="91"/>
      <c r="O18" s="100">
        <f t="shared" si="1"/>
        <v>0</v>
      </c>
    </row>
    <row r="19" spans="1:15" x14ac:dyDescent="0.3">
      <c r="A19" s="123">
        <v>15</v>
      </c>
      <c r="B19" s="134">
        <v>46266</v>
      </c>
      <c r="C19" s="103" t="s">
        <v>127</v>
      </c>
      <c r="D19" s="89">
        <v>90000</v>
      </c>
      <c r="E19" s="118"/>
      <c r="F19" s="91">
        <f t="shared" si="0"/>
        <v>90000</v>
      </c>
      <c r="H19" s="118">
        <v>0</v>
      </c>
      <c r="I19" s="122"/>
      <c r="J19" s="128"/>
      <c r="K19" s="155"/>
      <c r="L19" s="128">
        <v>90000</v>
      </c>
      <c r="M19" s="91"/>
      <c r="N19" s="91"/>
      <c r="O19" s="100">
        <f t="shared" si="1"/>
        <v>90000</v>
      </c>
    </row>
    <row r="20" spans="1:15" x14ac:dyDescent="0.3">
      <c r="A20" s="131">
        <v>16</v>
      </c>
      <c r="B20" s="134">
        <v>46273</v>
      </c>
      <c r="C20" s="103" t="s">
        <v>3</v>
      </c>
      <c r="D20" s="89"/>
      <c r="E20" s="118">
        <v>65340</v>
      </c>
      <c r="F20" s="91">
        <f>SUM(D20:E20)</f>
        <v>65340</v>
      </c>
      <c r="G20" s="118"/>
      <c r="H20" s="122"/>
      <c r="I20" s="122"/>
      <c r="J20" s="128"/>
      <c r="K20" s="155"/>
      <c r="L20" s="91">
        <v>65340</v>
      </c>
      <c r="M20" s="91"/>
      <c r="N20" s="91"/>
      <c r="O20" s="100">
        <f t="shared" si="1"/>
        <v>65340</v>
      </c>
    </row>
    <row r="21" spans="1:15" x14ac:dyDescent="0.3">
      <c r="A21" s="131">
        <v>17</v>
      </c>
      <c r="B21" s="134">
        <v>46273</v>
      </c>
      <c r="C21" s="104" t="s">
        <v>71</v>
      </c>
      <c r="D21" s="89">
        <v>90000</v>
      </c>
      <c r="E21" s="118"/>
      <c r="F21" s="91">
        <f t="shared" si="0"/>
        <v>90000</v>
      </c>
      <c r="G21" s="118">
        <v>90000</v>
      </c>
      <c r="H21" s="122"/>
      <c r="I21" s="122"/>
      <c r="J21" s="128"/>
      <c r="K21" s="155"/>
      <c r="L21" s="128"/>
      <c r="M21" s="91"/>
      <c r="N21" s="91"/>
      <c r="O21" s="100">
        <f t="shared" si="1"/>
        <v>90000</v>
      </c>
    </row>
    <row r="22" spans="1:15" x14ac:dyDescent="0.3">
      <c r="A22" s="123">
        <v>18</v>
      </c>
      <c r="B22" s="134">
        <v>46272</v>
      </c>
      <c r="C22" s="103" t="s">
        <v>98</v>
      </c>
      <c r="D22" s="116"/>
      <c r="E22" s="119">
        <v>148000</v>
      </c>
      <c r="F22" s="91">
        <f>SUM(D22:E22)</f>
        <v>148000</v>
      </c>
      <c r="G22" s="118"/>
      <c r="H22" s="122"/>
      <c r="I22" s="122"/>
      <c r="J22" s="128"/>
      <c r="K22" s="155"/>
      <c r="L22" s="94">
        <v>148000</v>
      </c>
      <c r="M22" s="91"/>
      <c r="N22" s="91"/>
      <c r="O22" s="100">
        <f t="shared" si="1"/>
        <v>148000</v>
      </c>
    </row>
    <row r="23" spans="1:15" x14ac:dyDescent="0.3">
      <c r="A23" s="131">
        <v>19</v>
      </c>
      <c r="B23" s="134">
        <v>46275</v>
      </c>
      <c r="C23" s="105" t="s">
        <v>135</v>
      </c>
      <c r="D23" s="89"/>
      <c r="E23" s="118">
        <v>510152</v>
      </c>
      <c r="F23" s="91">
        <f t="shared" si="0"/>
        <v>510152</v>
      </c>
      <c r="G23" s="118"/>
      <c r="H23" s="122"/>
      <c r="I23" s="122"/>
      <c r="J23" s="128">
        <v>510152</v>
      </c>
      <c r="K23" s="155"/>
      <c r="L23" s="128"/>
      <c r="M23" s="91"/>
      <c r="N23" s="91"/>
      <c r="O23" s="100">
        <f t="shared" si="1"/>
        <v>510152</v>
      </c>
    </row>
    <row r="24" spans="1:15" x14ac:dyDescent="0.3">
      <c r="A24" s="131">
        <v>20</v>
      </c>
      <c r="B24" s="134">
        <v>46269</v>
      </c>
      <c r="C24" s="103" t="s">
        <v>91</v>
      </c>
      <c r="D24" s="89"/>
      <c r="E24" s="100">
        <v>68752</v>
      </c>
      <c r="F24" s="91">
        <f t="shared" si="0"/>
        <v>68752</v>
      </c>
      <c r="G24" s="118"/>
      <c r="H24" s="122"/>
      <c r="I24" s="122"/>
      <c r="J24" s="128">
        <v>68752</v>
      </c>
      <c r="K24" s="155"/>
      <c r="L24" s="128"/>
      <c r="M24" s="91"/>
      <c r="N24" s="91"/>
      <c r="O24" s="100">
        <f t="shared" si="1"/>
        <v>68752</v>
      </c>
    </row>
    <row r="25" spans="1:15" x14ac:dyDescent="0.3">
      <c r="A25" s="123">
        <v>21</v>
      </c>
      <c r="B25" s="134">
        <v>46269</v>
      </c>
      <c r="C25" s="103" t="s">
        <v>86</v>
      </c>
      <c r="D25" s="89"/>
      <c r="E25" s="118">
        <v>745927</v>
      </c>
      <c r="F25" s="91">
        <f t="shared" si="0"/>
        <v>745927</v>
      </c>
      <c r="G25" s="118"/>
      <c r="H25" s="122"/>
      <c r="I25" s="122"/>
      <c r="J25" s="128">
        <v>745927</v>
      </c>
      <c r="K25" s="155"/>
      <c r="L25" s="128"/>
      <c r="M25" s="91"/>
      <c r="N25" s="91"/>
      <c r="O25" s="100">
        <f t="shared" si="1"/>
        <v>745927</v>
      </c>
    </row>
    <row r="26" spans="1:15" x14ac:dyDescent="0.3">
      <c r="A26" s="131">
        <v>22</v>
      </c>
      <c r="B26" s="134">
        <v>46286</v>
      </c>
      <c r="C26" s="103" t="s">
        <v>90</v>
      </c>
      <c r="D26" s="89">
        <v>238000</v>
      </c>
      <c r="E26" s="118"/>
      <c r="F26" s="91">
        <f t="shared" si="0"/>
        <v>238000</v>
      </c>
      <c r="G26" s="118"/>
      <c r="H26" s="122"/>
      <c r="I26" s="122"/>
      <c r="J26" s="128"/>
      <c r="K26" s="155"/>
      <c r="L26" s="128">
        <v>238000</v>
      </c>
      <c r="M26" s="91"/>
      <c r="N26" s="91"/>
      <c r="O26" s="100">
        <f t="shared" si="1"/>
        <v>238000</v>
      </c>
    </row>
    <row r="27" spans="1:15" x14ac:dyDescent="0.3">
      <c r="A27" s="131">
        <v>23</v>
      </c>
      <c r="B27" s="134">
        <v>46286</v>
      </c>
      <c r="C27" s="103" t="s">
        <v>92</v>
      </c>
      <c r="D27" s="89"/>
      <c r="E27" s="118">
        <v>216000</v>
      </c>
      <c r="F27" s="91">
        <f>SUM(D27:E27)</f>
        <v>216000</v>
      </c>
      <c r="G27" s="118"/>
      <c r="H27" s="122"/>
      <c r="I27" s="122"/>
      <c r="J27" s="128"/>
      <c r="K27" s="155"/>
      <c r="L27" s="128">
        <v>216000</v>
      </c>
      <c r="M27" s="91"/>
      <c r="N27" s="91"/>
      <c r="O27" s="100">
        <f t="shared" si="1"/>
        <v>216000</v>
      </c>
    </row>
    <row r="28" spans="1:15" x14ac:dyDescent="0.3">
      <c r="A28" s="123">
        <v>24</v>
      </c>
      <c r="B28" s="134">
        <v>46279</v>
      </c>
      <c r="C28" s="103" t="s">
        <v>0</v>
      </c>
      <c r="D28" s="89">
        <v>204000</v>
      </c>
      <c r="E28" s="118"/>
      <c r="F28" s="91">
        <f>SUM(D28:E28)</f>
        <v>204000</v>
      </c>
      <c r="G28" s="118">
        <v>0</v>
      </c>
      <c r="H28" s="122"/>
      <c r="I28" s="122"/>
      <c r="J28" s="128"/>
      <c r="K28" s="155"/>
      <c r="L28" s="128">
        <v>204000</v>
      </c>
      <c r="M28" s="91"/>
      <c r="N28" s="91"/>
      <c r="O28" s="100">
        <f t="shared" si="1"/>
        <v>204000</v>
      </c>
    </row>
    <row r="29" spans="1:15" x14ac:dyDescent="0.3">
      <c r="A29" s="131">
        <v>25</v>
      </c>
      <c r="B29" s="134">
        <v>46277</v>
      </c>
      <c r="C29" s="105" t="s">
        <v>117</v>
      </c>
      <c r="D29" s="89"/>
      <c r="E29" s="118">
        <v>160000</v>
      </c>
      <c r="F29" s="91">
        <f>SUM(D29:E29)</f>
        <v>160000</v>
      </c>
      <c r="G29" s="118"/>
      <c r="H29" s="124"/>
      <c r="I29" s="122"/>
      <c r="J29" s="128"/>
      <c r="K29" s="155"/>
      <c r="L29" s="128"/>
      <c r="M29" s="91">
        <v>160000</v>
      </c>
      <c r="N29" s="91"/>
      <c r="O29" s="100">
        <f t="shared" si="1"/>
        <v>160000</v>
      </c>
    </row>
    <row r="30" spans="1:15" x14ac:dyDescent="0.3">
      <c r="A30" s="131">
        <v>26</v>
      </c>
      <c r="B30" s="134">
        <v>46295</v>
      </c>
      <c r="C30" s="105" t="s">
        <v>182</v>
      </c>
      <c r="D30" s="126"/>
      <c r="E30" s="128">
        <v>0</v>
      </c>
      <c r="F30" s="91">
        <f>SUM(D30:E30)</f>
        <v>0</v>
      </c>
      <c r="G30" s="118"/>
      <c r="H30" s="122"/>
      <c r="I30" s="122"/>
      <c r="J30" s="128">
        <v>0</v>
      </c>
      <c r="K30" s="217">
        <v>0</v>
      </c>
      <c r="L30" s="128"/>
      <c r="M30" s="91"/>
      <c r="N30" s="91"/>
      <c r="O30" s="100">
        <f t="shared" si="1"/>
        <v>0</v>
      </c>
    </row>
    <row r="31" spans="1:15" x14ac:dyDescent="0.3">
      <c r="A31" s="123">
        <v>27</v>
      </c>
      <c r="B31" s="134">
        <v>46280</v>
      </c>
      <c r="C31" s="105" t="s">
        <v>178</v>
      </c>
      <c r="D31" s="52"/>
      <c r="E31" s="100"/>
      <c r="F31" s="91">
        <f>SUM(D31:E31)</f>
        <v>0</v>
      </c>
      <c r="G31" s="100"/>
      <c r="H31" s="122"/>
      <c r="I31" s="122"/>
      <c r="J31" s="91"/>
      <c r="K31" s="219">
        <v>0</v>
      </c>
      <c r="L31" s="128"/>
      <c r="M31" s="91"/>
      <c r="N31" s="91"/>
      <c r="O31" s="100">
        <f t="shared" si="1"/>
        <v>0</v>
      </c>
    </row>
    <row r="32" spans="1:15" x14ac:dyDescent="0.3">
      <c r="A32" s="131">
        <v>28</v>
      </c>
      <c r="B32" s="134">
        <v>46269</v>
      </c>
      <c r="C32" s="103" t="s">
        <v>88</v>
      </c>
      <c r="D32" s="89"/>
      <c r="E32" s="118">
        <v>64342</v>
      </c>
      <c r="F32" s="91">
        <f t="shared" ref="F32:F35" si="2">SUM(D32:E32)</f>
        <v>64342</v>
      </c>
      <c r="G32" s="118"/>
      <c r="H32" s="122"/>
      <c r="I32" s="122"/>
      <c r="J32" s="128"/>
      <c r="K32" s="155"/>
      <c r="L32" s="119"/>
      <c r="M32" s="91"/>
      <c r="N32" s="91">
        <v>64342</v>
      </c>
      <c r="O32" s="100">
        <f t="shared" si="1"/>
        <v>64342</v>
      </c>
    </row>
    <row r="33" spans="1:24" x14ac:dyDescent="0.3">
      <c r="A33" s="131">
        <v>29</v>
      </c>
      <c r="B33" s="134"/>
      <c r="C33" s="103" t="s">
        <v>95</v>
      </c>
      <c r="D33" s="89">
        <v>38000</v>
      </c>
      <c r="E33" s="118"/>
      <c r="F33" s="91">
        <f t="shared" si="2"/>
        <v>38000</v>
      </c>
      <c r="G33" s="118">
        <v>0</v>
      </c>
      <c r="H33" s="128">
        <v>0</v>
      </c>
      <c r="I33" s="122"/>
      <c r="J33" s="128"/>
      <c r="L33" s="119">
        <v>38000</v>
      </c>
      <c r="M33" s="91"/>
      <c r="N33" s="91"/>
      <c r="O33" s="100">
        <f t="shared" si="1"/>
        <v>38000</v>
      </c>
    </row>
    <row r="34" spans="1:24" x14ac:dyDescent="0.3">
      <c r="A34" s="131">
        <v>30</v>
      </c>
      <c r="B34" s="134">
        <v>46274</v>
      </c>
      <c r="C34" s="103" t="s">
        <v>93</v>
      </c>
      <c r="D34" s="126"/>
      <c r="E34" s="128">
        <f>47800*3</f>
        <v>143400</v>
      </c>
      <c r="F34" s="91">
        <f>SUM(D34:E34)</f>
        <v>143400</v>
      </c>
      <c r="G34" s="118"/>
      <c r="H34" s="122"/>
      <c r="I34" s="122"/>
      <c r="J34" s="128">
        <v>47800</v>
      </c>
      <c r="K34" s="155">
        <f>47800*2</f>
        <v>95600</v>
      </c>
      <c r="L34" s="128"/>
      <c r="M34" s="91"/>
      <c r="N34" s="91"/>
      <c r="O34" s="100">
        <f t="shared" si="1"/>
        <v>143400</v>
      </c>
    </row>
    <row r="35" spans="1:24" ht="15" thickBot="1" x14ac:dyDescent="0.35">
      <c r="A35" s="132">
        <v>31</v>
      </c>
      <c r="B35" s="135">
        <v>46273</v>
      </c>
      <c r="C35" s="106" t="s">
        <v>94</v>
      </c>
      <c r="D35" s="117"/>
      <c r="E35" s="120">
        <v>36000</v>
      </c>
      <c r="F35" s="94">
        <f t="shared" si="2"/>
        <v>36000</v>
      </c>
      <c r="G35" s="120"/>
      <c r="H35" s="125"/>
      <c r="I35" s="125"/>
      <c r="J35" s="120"/>
      <c r="K35" s="220"/>
      <c r="L35" s="120">
        <v>36000</v>
      </c>
      <c r="M35" s="92"/>
      <c r="N35" s="92"/>
      <c r="O35" s="100">
        <f t="shared" si="1"/>
        <v>36000</v>
      </c>
    </row>
    <row r="36" spans="1:24" ht="15" thickBot="1" x14ac:dyDescent="0.35">
      <c r="A36" s="259" t="s">
        <v>24</v>
      </c>
      <c r="B36" s="259"/>
      <c r="C36" s="260"/>
      <c r="D36" s="95">
        <f t="shared" ref="D36:F36" si="3">SUM(D4:D35)</f>
        <v>2848000</v>
      </c>
      <c r="E36" s="96">
        <f t="shared" si="3"/>
        <v>13530009</v>
      </c>
      <c r="F36" s="97">
        <f t="shared" si="3"/>
        <v>16378009</v>
      </c>
      <c r="G36" s="121">
        <f>SUM(G4:G35)</f>
        <v>2254000</v>
      </c>
      <c r="H36" s="121">
        <f>SUM(H4:H35)</f>
        <v>0</v>
      </c>
      <c r="I36" s="39"/>
      <c r="J36" s="32"/>
      <c r="K36" s="32"/>
      <c r="L36" s="32"/>
      <c r="M36" s="32"/>
      <c r="N36" s="129"/>
      <c r="O36" s="101">
        <f t="shared" si="1"/>
        <v>2254000</v>
      </c>
    </row>
    <row r="37" spans="1:24" ht="15" thickBot="1" x14ac:dyDescent="0.35">
      <c r="A37" s="261" t="s">
        <v>64</v>
      </c>
      <c r="B37" s="262"/>
      <c r="C37" s="263"/>
      <c r="D37" s="272"/>
      <c r="E37" s="273"/>
      <c r="F37" s="274"/>
      <c r="G37" s="210"/>
      <c r="H37" s="4"/>
      <c r="I37" s="4"/>
      <c r="J37" s="34">
        <f>SUM(J4:J36)</f>
        <v>2080533</v>
      </c>
      <c r="K37" s="34">
        <f>SUM(K4:K36)</f>
        <v>13350459</v>
      </c>
      <c r="L37" s="34">
        <f>SUM(L4:L36)</f>
        <v>1588133</v>
      </c>
      <c r="M37" s="34">
        <f>SUM(M4:M36)</f>
        <v>215555</v>
      </c>
      <c r="N37" s="34">
        <f>SUM(N4:N36)</f>
        <v>2515252</v>
      </c>
      <c r="O37" s="289"/>
    </row>
    <row r="38" spans="1:24" ht="15" thickBot="1" x14ac:dyDescent="0.35">
      <c r="A38" s="266"/>
      <c r="B38" s="267"/>
      <c r="C38" s="267"/>
      <c r="D38" s="275"/>
      <c r="E38" s="276"/>
      <c r="F38" s="277"/>
      <c r="G38" s="211">
        <f>SUM(G36:G37)</f>
        <v>2254000</v>
      </c>
      <c r="H38" s="96">
        <f t="shared" ref="H38:I38" si="4">SUM(H36:H37)</f>
        <v>0</v>
      </c>
      <c r="I38" s="96">
        <f t="shared" si="4"/>
        <v>0</v>
      </c>
      <c r="J38" s="107">
        <f>SUM(J36:J37)</f>
        <v>2080533</v>
      </c>
      <c r="K38" s="107">
        <f>SUM(K36:K37)</f>
        <v>13350459</v>
      </c>
      <c r="L38" s="107">
        <f>SUM(L36:L37)</f>
        <v>1588133</v>
      </c>
      <c r="M38" s="107">
        <f>SUM(M36:M37)</f>
        <v>215555</v>
      </c>
      <c r="N38" s="108">
        <f>SUM(N36:N37)</f>
        <v>2515252</v>
      </c>
      <c r="O38" s="290"/>
    </row>
    <row r="39" spans="1:24" ht="18.600000000000001" thickBot="1" x14ac:dyDescent="0.4">
      <c r="A39" s="268"/>
      <c r="B39" s="269"/>
      <c r="C39" s="269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1"/>
      <c r="Q39" s="284" t="s">
        <v>68</v>
      </c>
      <c r="R39" s="285"/>
      <c r="S39" s="286"/>
    </row>
    <row r="40" spans="1:24" ht="24" thickBot="1" x14ac:dyDescent="0.5">
      <c r="A40" s="251" t="s">
        <v>189</v>
      </c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3"/>
      <c r="N40" s="253"/>
      <c r="O40" s="254"/>
      <c r="Q40" s="197" t="s">
        <v>61</v>
      </c>
      <c r="R40" s="198" t="s">
        <v>69</v>
      </c>
      <c r="S40" s="199" t="s">
        <v>24</v>
      </c>
    </row>
    <row r="41" spans="1:24" ht="15" thickBot="1" x14ac:dyDescent="0.35">
      <c r="A41" s="257" t="s">
        <v>12</v>
      </c>
      <c r="B41" s="257" t="s">
        <v>89</v>
      </c>
      <c r="C41" s="257" t="s">
        <v>55</v>
      </c>
      <c r="D41" s="255" t="s">
        <v>63</v>
      </c>
      <c r="E41" s="255" t="s">
        <v>62</v>
      </c>
      <c r="F41" s="255" t="s">
        <v>24</v>
      </c>
      <c r="G41" s="278" t="s">
        <v>63</v>
      </c>
      <c r="H41" s="279"/>
      <c r="I41" s="280"/>
      <c r="J41" s="281" t="s">
        <v>57</v>
      </c>
      <c r="K41" s="282"/>
      <c r="L41" s="282"/>
      <c r="M41" s="282"/>
      <c r="N41" s="283"/>
      <c r="O41" s="255" t="s">
        <v>24</v>
      </c>
      <c r="Q41" s="287" t="s">
        <v>77</v>
      </c>
      <c r="R41" s="288"/>
      <c r="S41" s="192"/>
      <c r="U41" s="36"/>
      <c r="V41" s="36"/>
      <c r="W41" s="36"/>
      <c r="X41" s="36"/>
    </row>
    <row r="42" spans="1:24" ht="15" thickBot="1" x14ac:dyDescent="0.35">
      <c r="A42" s="258"/>
      <c r="B42" s="258"/>
      <c r="C42" s="258"/>
      <c r="D42" s="256"/>
      <c r="E42" s="256"/>
      <c r="F42" s="256"/>
      <c r="G42" s="60" t="s">
        <v>66</v>
      </c>
      <c r="H42" s="60" t="s">
        <v>67</v>
      </c>
      <c r="I42" s="60" t="s">
        <v>87</v>
      </c>
      <c r="J42" s="62" t="s">
        <v>75</v>
      </c>
      <c r="K42" s="62" t="s">
        <v>76</v>
      </c>
      <c r="L42" s="62" t="s">
        <v>59</v>
      </c>
      <c r="M42" s="62" t="s">
        <v>112</v>
      </c>
      <c r="N42" s="62" t="s">
        <v>116</v>
      </c>
      <c r="O42" s="256"/>
      <c r="Q42" s="193"/>
      <c r="R42" s="88"/>
      <c r="S42" s="152">
        <f>SUM(Q42:R42)</f>
        <v>0</v>
      </c>
      <c r="U42" s="36"/>
      <c r="V42" s="46"/>
      <c r="W42" s="46"/>
      <c r="X42" s="36"/>
    </row>
    <row r="43" spans="1:24" ht="15" thickBot="1" x14ac:dyDescent="0.35">
      <c r="A43" s="98"/>
      <c r="B43" s="98"/>
      <c r="C43" s="139"/>
      <c r="D43" s="98"/>
      <c r="E43" s="98"/>
      <c r="F43" s="33">
        <f>SUM(D43:E43)</f>
        <v>0</v>
      </c>
      <c r="G43" s="33"/>
      <c r="H43" s="26"/>
      <c r="I43" s="26"/>
      <c r="J43" s="33"/>
      <c r="K43" s="33"/>
      <c r="L43" s="33"/>
      <c r="M43" s="33"/>
      <c r="N43" s="33"/>
      <c r="O43" s="33">
        <f t="shared" ref="O43" si="5">SUM(G43:L43)</f>
        <v>0</v>
      </c>
      <c r="Q43" s="149"/>
      <c r="R43" s="27"/>
      <c r="S43" s="152">
        <f>SUM(Q43:R43)</f>
        <v>0</v>
      </c>
      <c r="U43" s="36"/>
      <c r="V43" s="36"/>
      <c r="W43" s="36"/>
      <c r="X43" s="36"/>
    </row>
    <row r="44" spans="1:24" ht="15" thickBot="1" x14ac:dyDescent="0.35">
      <c r="A44" s="136">
        <v>1</v>
      </c>
      <c r="B44" s="138">
        <v>46267</v>
      </c>
      <c r="C44" s="127" t="s">
        <v>136</v>
      </c>
      <c r="D44" s="153"/>
      <c r="E44" s="163">
        <v>5000</v>
      </c>
      <c r="F44" s="99">
        <f t="shared" ref="F44:F126" si="6">SUM(D44:E44)</f>
        <v>5000</v>
      </c>
      <c r="G44" s="173"/>
      <c r="H44" s="127">
        <v>0</v>
      </c>
      <c r="I44" s="177"/>
      <c r="J44" s="173"/>
      <c r="K44" s="127"/>
      <c r="L44" s="185">
        <v>5000</v>
      </c>
      <c r="M44" s="127"/>
      <c r="N44" s="177"/>
      <c r="O44" s="189">
        <f>SUM(G44:N44)</f>
        <v>5000</v>
      </c>
      <c r="Q44" s="149"/>
      <c r="R44" s="18"/>
      <c r="S44" s="152">
        <f t="shared" ref="S44:S123" si="7">SUM(Q44:R44)</f>
        <v>0</v>
      </c>
      <c r="U44" s="36"/>
      <c r="V44" s="36"/>
      <c r="W44" s="36"/>
      <c r="X44" s="36"/>
    </row>
    <row r="45" spans="1:24" ht="15" thickBot="1" x14ac:dyDescent="0.35">
      <c r="A45" s="137">
        <v>2</v>
      </c>
      <c r="B45" s="138">
        <v>46267</v>
      </c>
      <c r="C45" s="128" t="s">
        <v>149</v>
      </c>
      <c r="D45" s="154"/>
      <c r="E45" s="164">
        <v>80000</v>
      </c>
      <c r="F45" s="99">
        <f t="shared" si="6"/>
        <v>80000</v>
      </c>
      <c r="G45" s="155"/>
      <c r="H45" s="128">
        <v>0</v>
      </c>
      <c r="I45" s="178"/>
      <c r="J45" s="155"/>
      <c r="K45" s="128"/>
      <c r="L45" s="126">
        <v>80000</v>
      </c>
      <c r="M45" s="128"/>
      <c r="N45" s="178"/>
      <c r="O45" s="144">
        <f>SUM(G45:N45)</f>
        <v>80000</v>
      </c>
      <c r="Q45" s="149"/>
      <c r="R45" s="27">
        <v>80000</v>
      </c>
      <c r="S45" s="152">
        <f t="shared" si="7"/>
        <v>80000</v>
      </c>
      <c r="U45" s="36"/>
      <c r="V45" s="36"/>
      <c r="W45" s="36"/>
      <c r="X45" s="36"/>
    </row>
    <row r="46" spans="1:24" ht="15" thickBot="1" x14ac:dyDescent="0.35">
      <c r="A46" s="137">
        <v>3</v>
      </c>
      <c r="B46" s="138">
        <v>46267</v>
      </c>
      <c r="C46" s="128" t="s">
        <v>138</v>
      </c>
      <c r="D46" s="154"/>
      <c r="E46" s="164">
        <v>15000</v>
      </c>
      <c r="F46" s="100">
        <f t="shared" si="6"/>
        <v>15000</v>
      </c>
      <c r="G46" s="155"/>
      <c r="H46" s="128"/>
      <c r="I46" s="178"/>
      <c r="J46" s="155"/>
      <c r="K46" s="128"/>
      <c r="L46" s="126">
        <v>15000</v>
      </c>
      <c r="M46" s="128"/>
      <c r="N46" s="178"/>
      <c r="O46" s="144">
        <f t="shared" ref="O46:O126" si="8">SUM(G46:N46)</f>
        <v>15000</v>
      </c>
      <c r="Q46" s="149"/>
      <c r="R46" s="27">
        <v>15000</v>
      </c>
      <c r="S46" s="152">
        <f t="shared" si="7"/>
        <v>15000</v>
      </c>
      <c r="U46" s="36"/>
      <c r="V46" s="36"/>
      <c r="W46" s="36"/>
      <c r="X46" s="36"/>
    </row>
    <row r="47" spans="1:24" ht="15" thickBot="1" x14ac:dyDescent="0.35">
      <c r="A47" s="137">
        <v>4</v>
      </c>
      <c r="B47" s="138">
        <v>46268</v>
      </c>
      <c r="C47" s="140" t="s">
        <v>142</v>
      </c>
      <c r="D47" s="154"/>
      <c r="E47" s="164">
        <v>281563</v>
      </c>
      <c r="F47" s="100">
        <f t="shared" si="6"/>
        <v>281563</v>
      </c>
      <c r="G47" s="155"/>
      <c r="H47" s="128"/>
      <c r="I47" s="178"/>
      <c r="J47" s="155">
        <v>281563</v>
      </c>
      <c r="K47" s="128"/>
      <c r="L47" s="126"/>
      <c r="M47" s="128"/>
      <c r="N47" s="178"/>
      <c r="O47" s="144">
        <f t="shared" si="8"/>
        <v>281563</v>
      </c>
      <c r="Q47" s="149"/>
      <c r="R47" s="37">
        <v>281563</v>
      </c>
      <c r="S47" s="152">
        <f t="shared" si="7"/>
        <v>281563</v>
      </c>
      <c r="U47" s="36"/>
      <c r="V47" s="36"/>
      <c r="W47" s="36"/>
      <c r="X47" s="36"/>
    </row>
    <row r="48" spans="1:24" ht="15" thickBot="1" x14ac:dyDescent="0.35">
      <c r="A48" s="137">
        <v>5</v>
      </c>
      <c r="B48" s="138">
        <v>46267</v>
      </c>
      <c r="C48" s="140" t="s">
        <v>139</v>
      </c>
      <c r="D48" s="154"/>
      <c r="E48" s="164">
        <v>180000</v>
      </c>
      <c r="F48" s="100">
        <f t="shared" si="6"/>
        <v>180000</v>
      </c>
      <c r="G48" s="155"/>
      <c r="H48" s="128"/>
      <c r="I48" s="178"/>
      <c r="J48" s="155">
        <v>180000</v>
      </c>
      <c r="K48" s="128"/>
      <c r="L48" s="126"/>
      <c r="M48" s="128"/>
      <c r="N48" s="178"/>
      <c r="O48" s="144">
        <f t="shared" si="8"/>
        <v>180000</v>
      </c>
      <c r="Q48" s="149"/>
      <c r="R48" s="37">
        <v>180000</v>
      </c>
      <c r="S48" s="152">
        <f t="shared" si="7"/>
        <v>180000</v>
      </c>
      <c r="U48" s="36"/>
      <c r="V48" s="36"/>
      <c r="W48" s="36"/>
      <c r="X48" s="36"/>
    </row>
    <row r="49" spans="1:29" ht="15" thickBot="1" x14ac:dyDescent="0.35">
      <c r="A49" s="137">
        <v>6</v>
      </c>
      <c r="B49" s="138">
        <v>46270</v>
      </c>
      <c r="C49" s="140" t="s">
        <v>140</v>
      </c>
      <c r="D49" s="154"/>
      <c r="E49" s="164">
        <v>2814598</v>
      </c>
      <c r="F49" s="100">
        <f t="shared" ref="F49" si="9">SUM(D49:E49)</f>
        <v>2814598</v>
      </c>
      <c r="G49" s="155"/>
      <c r="H49" s="128"/>
      <c r="I49" s="178"/>
      <c r="J49" s="155"/>
      <c r="K49" s="128">
        <v>2814598</v>
      </c>
      <c r="L49" s="126"/>
      <c r="M49" s="128"/>
      <c r="N49" s="178"/>
      <c r="O49" s="144">
        <f t="shared" ref="O49" si="10">SUM(G49:N49)</f>
        <v>2814598</v>
      </c>
      <c r="Q49" s="149"/>
      <c r="R49" s="37">
        <v>2814598</v>
      </c>
      <c r="S49" s="152">
        <f t="shared" si="7"/>
        <v>2814598</v>
      </c>
      <c r="U49" s="36"/>
      <c r="V49" s="36"/>
      <c r="W49" s="36"/>
      <c r="X49" s="36"/>
    </row>
    <row r="50" spans="1:29" ht="15" thickBot="1" x14ac:dyDescent="0.35">
      <c r="A50" s="137">
        <v>7</v>
      </c>
      <c r="B50" s="138">
        <v>46270</v>
      </c>
      <c r="C50" s="140" t="s">
        <v>141</v>
      </c>
      <c r="D50" s="154"/>
      <c r="E50" s="164">
        <v>706601</v>
      </c>
      <c r="F50" s="100">
        <f t="shared" si="6"/>
        <v>706601</v>
      </c>
      <c r="G50" s="155"/>
      <c r="H50" s="128"/>
      <c r="I50" s="178"/>
      <c r="J50" s="155"/>
      <c r="K50" s="128">
        <v>706601</v>
      </c>
      <c r="L50" s="126"/>
      <c r="M50" s="128"/>
      <c r="N50" s="178"/>
      <c r="O50" s="144">
        <f t="shared" si="8"/>
        <v>706601</v>
      </c>
      <c r="Q50" s="149"/>
      <c r="R50" s="35">
        <v>706601</v>
      </c>
      <c r="S50" s="152">
        <f t="shared" si="7"/>
        <v>706601</v>
      </c>
      <c r="U50" s="36"/>
      <c r="V50" s="36"/>
      <c r="W50" s="36"/>
      <c r="X50" s="36"/>
    </row>
    <row r="51" spans="1:29" x14ac:dyDescent="0.3">
      <c r="A51" s="137">
        <v>8</v>
      </c>
      <c r="B51" s="138">
        <v>46270</v>
      </c>
      <c r="C51" s="140" t="s">
        <v>133</v>
      </c>
      <c r="D51" s="154"/>
      <c r="E51" s="128">
        <v>28000</v>
      </c>
      <c r="F51" s="100">
        <f t="shared" ref="F51" si="11">SUM(D51:E51)</f>
        <v>28000</v>
      </c>
      <c r="G51" s="155"/>
      <c r="H51" s="128"/>
      <c r="I51" s="178"/>
      <c r="J51" s="155"/>
      <c r="K51" s="128"/>
      <c r="L51" s="126">
        <v>28000</v>
      </c>
      <c r="M51" s="128"/>
      <c r="N51" s="178"/>
      <c r="O51" s="144">
        <f t="shared" ref="O51" si="12">SUM(G51:N51)</f>
        <v>28000</v>
      </c>
      <c r="Q51" s="149"/>
      <c r="R51" s="35">
        <v>28000</v>
      </c>
      <c r="S51" s="152">
        <f t="shared" si="7"/>
        <v>28000</v>
      </c>
      <c r="U51" s="36"/>
      <c r="V51" s="36"/>
      <c r="W51" s="36"/>
      <c r="X51" s="36"/>
    </row>
    <row r="52" spans="1:29" x14ac:dyDescent="0.3">
      <c r="A52" s="137">
        <v>9</v>
      </c>
      <c r="B52" s="205">
        <v>46273</v>
      </c>
      <c r="C52" s="140" t="s">
        <v>143</v>
      </c>
      <c r="D52" s="154"/>
      <c r="E52" s="164">
        <v>64000</v>
      </c>
      <c r="F52" s="100">
        <f t="shared" si="6"/>
        <v>64000</v>
      </c>
      <c r="G52" s="155"/>
      <c r="H52" s="128"/>
      <c r="I52" s="178"/>
      <c r="J52" s="155"/>
      <c r="K52" s="128"/>
      <c r="L52" s="126">
        <v>64000</v>
      </c>
      <c r="M52" s="128"/>
      <c r="N52" s="178"/>
      <c r="O52" s="144">
        <f t="shared" si="8"/>
        <v>64000</v>
      </c>
      <c r="Q52" s="149"/>
      <c r="R52" s="35">
        <v>64000</v>
      </c>
      <c r="S52" s="152">
        <f t="shared" si="7"/>
        <v>64000</v>
      </c>
      <c r="U52" s="36"/>
      <c r="V52" s="36">
        <f>S45+S50+S51+S52+S53+S55+S56+S57+S58+S59</f>
        <v>1179348</v>
      </c>
      <c r="W52" s="36"/>
      <c r="X52" s="36"/>
    </row>
    <row r="53" spans="1:29" x14ac:dyDescent="0.3">
      <c r="A53" s="137">
        <v>10</v>
      </c>
      <c r="B53" s="205">
        <v>46273</v>
      </c>
      <c r="C53" s="140" t="s">
        <v>144</v>
      </c>
      <c r="D53" s="154"/>
      <c r="E53" s="164">
        <v>24000</v>
      </c>
      <c r="F53" s="100">
        <f t="shared" si="6"/>
        <v>24000</v>
      </c>
      <c r="G53" s="155"/>
      <c r="H53" s="128"/>
      <c r="I53" s="178"/>
      <c r="J53" s="155"/>
      <c r="K53" s="128"/>
      <c r="L53" s="126">
        <v>24000</v>
      </c>
      <c r="M53" s="128"/>
      <c r="N53" s="178"/>
      <c r="O53" s="144">
        <f t="shared" si="8"/>
        <v>24000</v>
      </c>
      <c r="Q53" s="149"/>
      <c r="R53" s="35">
        <v>24000</v>
      </c>
      <c r="S53" s="152">
        <f t="shared" si="7"/>
        <v>24000</v>
      </c>
      <c r="U53" s="36"/>
      <c r="V53" s="36"/>
      <c r="W53" s="36"/>
      <c r="X53" s="36"/>
    </row>
    <row r="54" spans="1:29" x14ac:dyDescent="0.3">
      <c r="A54" s="137">
        <v>11</v>
      </c>
      <c r="B54" s="205">
        <v>46270</v>
      </c>
      <c r="C54" s="140" t="s">
        <v>203</v>
      </c>
      <c r="D54" s="154">
        <v>47000</v>
      </c>
      <c r="E54" s="164"/>
      <c r="F54" s="100">
        <f t="shared" ref="F54" si="13">SUM(D54:E54)</f>
        <v>47000</v>
      </c>
      <c r="G54" s="155">
        <v>0</v>
      </c>
      <c r="H54" s="128">
        <v>0</v>
      </c>
      <c r="I54" s="178"/>
      <c r="J54" s="155"/>
      <c r="K54" s="128"/>
      <c r="L54" s="126">
        <v>47000</v>
      </c>
      <c r="M54" s="128"/>
      <c r="N54" s="178"/>
      <c r="O54" s="144">
        <f t="shared" ref="O54" si="14">SUM(G54:N54)</f>
        <v>47000</v>
      </c>
      <c r="Q54" s="147"/>
      <c r="R54" s="35">
        <v>47000</v>
      </c>
      <c r="S54" s="152">
        <f t="shared" si="7"/>
        <v>47000</v>
      </c>
      <c r="U54" s="36"/>
      <c r="V54" s="36"/>
      <c r="W54" s="36"/>
      <c r="X54" s="36"/>
    </row>
    <row r="55" spans="1:29" x14ac:dyDescent="0.3">
      <c r="A55" s="137">
        <v>12</v>
      </c>
      <c r="B55" s="205">
        <v>46269</v>
      </c>
      <c r="C55" s="140" t="s">
        <v>146</v>
      </c>
      <c r="D55" s="154"/>
      <c r="E55" s="164">
        <v>24200</v>
      </c>
      <c r="F55" s="100">
        <f t="shared" si="6"/>
        <v>24200</v>
      </c>
      <c r="G55" s="155"/>
      <c r="H55" s="128"/>
      <c r="I55" s="178"/>
      <c r="J55" s="155"/>
      <c r="K55" s="128"/>
      <c r="L55" s="126">
        <v>24200</v>
      </c>
      <c r="M55" s="128"/>
      <c r="N55" s="178"/>
      <c r="O55" s="144">
        <f t="shared" si="8"/>
        <v>24200</v>
      </c>
      <c r="Q55" s="149"/>
      <c r="R55" s="18"/>
      <c r="S55" s="152">
        <f t="shared" si="7"/>
        <v>0</v>
      </c>
      <c r="U55" s="36"/>
      <c r="V55" s="36"/>
      <c r="W55" s="36"/>
      <c r="X55" s="36"/>
    </row>
    <row r="56" spans="1:29" x14ac:dyDescent="0.3">
      <c r="A56" s="137">
        <v>13</v>
      </c>
      <c r="B56" s="205">
        <v>46274</v>
      </c>
      <c r="C56" s="140" t="s">
        <v>147</v>
      </c>
      <c r="D56" s="154"/>
      <c r="E56" s="164">
        <v>25000</v>
      </c>
      <c r="F56" s="100">
        <f t="shared" ref="F56" si="15">SUM(D56:E56)</f>
        <v>25000</v>
      </c>
      <c r="G56" s="155"/>
      <c r="H56" s="128"/>
      <c r="I56" s="178"/>
      <c r="J56" s="155"/>
      <c r="K56" s="128"/>
      <c r="L56" s="126">
        <v>25000</v>
      </c>
      <c r="M56" s="128"/>
      <c r="N56" s="178"/>
      <c r="O56" s="144">
        <f t="shared" ref="O56" si="16">SUM(G56:N56)</f>
        <v>25000</v>
      </c>
      <c r="Q56" s="149"/>
      <c r="R56" s="18">
        <v>25000</v>
      </c>
      <c r="S56" s="152">
        <f t="shared" si="7"/>
        <v>25000</v>
      </c>
      <c r="U56" s="36"/>
      <c r="V56" s="36"/>
      <c r="W56" s="36"/>
      <c r="X56" s="36"/>
    </row>
    <row r="57" spans="1:29" x14ac:dyDescent="0.3">
      <c r="A57" s="137">
        <v>14</v>
      </c>
      <c r="B57" s="205">
        <v>46272</v>
      </c>
      <c r="C57" s="140" t="s">
        <v>148</v>
      </c>
      <c r="D57" s="154">
        <v>55000</v>
      </c>
      <c r="E57" s="164"/>
      <c r="F57" s="100">
        <f t="shared" si="6"/>
        <v>55000</v>
      </c>
      <c r="G57" s="155">
        <v>55000</v>
      </c>
      <c r="H57" s="128"/>
      <c r="I57" s="178"/>
      <c r="J57" s="155"/>
      <c r="K57" s="128"/>
      <c r="L57" s="126"/>
      <c r="M57" s="128"/>
      <c r="N57" s="178"/>
      <c r="O57" s="144">
        <f t="shared" si="8"/>
        <v>55000</v>
      </c>
      <c r="Q57" s="172">
        <v>55000</v>
      </c>
      <c r="R57" s="209"/>
      <c r="S57" s="152">
        <f t="shared" si="7"/>
        <v>55000</v>
      </c>
      <c r="U57" s="36"/>
      <c r="V57" s="36"/>
      <c r="W57" s="36"/>
      <c r="X57" s="36"/>
    </row>
    <row r="58" spans="1:29" x14ac:dyDescent="0.3">
      <c r="A58" s="137">
        <v>15</v>
      </c>
      <c r="B58" s="205">
        <v>46275</v>
      </c>
      <c r="C58" s="140" t="s">
        <v>150</v>
      </c>
      <c r="D58" s="154"/>
      <c r="E58" s="164">
        <v>35000</v>
      </c>
      <c r="F58" s="100">
        <f t="shared" ref="F58" si="17">SUM(D58:E58)</f>
        <v>35000</v>
      </c>
      <c r="G58" s="155"/>
      <c r="H58" s="128"/>
      <c r="I58" s="178"/>
      <c r="J58" s="155"/>
      <c r="K58" s="128"/>
      <c r="L58" s="126"/>
      <c r="M58" s="128"/>
      <c r="N58" s="178">
        <v>35000</v>
      </c>
      <c r="O58" s="144">
        <f t="shared" ref="O58" si="18">SUM(G58:N58)</f>
        <v>35000</v>
      </c>
      <c r="Q58" s="172"/>
      <c r="R58" s="209">
        <v>35000</v>
      </c>
      <c r="S58" s="152">
        <f t="shared" si="7"/>
        <v>35000</v>
      </c>
      <c r="U58" s="36"/>
      <c r="V58" s="36"/>
      <c r="W58" s="36"/>
      <c r="X58" s="36"/>
    </row>
    <row r="59" spans="1:29" x14ac:dyDescent="0.3">
      <c r="A59" s="137">
        <v>16</v>
      </c>
      <c r="B59" s="205">
        <v>46275</v>
      </c>
      <c r="C59" s="140" t="s">
        <v>151</v>
      </c>
      <c r="D59" s="154"/>
      <c r="E59" s="164">
        <v>161747</v>
      </c>
      <c r="F59" s="100">
        <f t="shared" si="6"/>
        <v>161747</v>
      </c>
      <c r="G59" s="155"/>
      <c r="H59" s="128"/>
      <c r="I59" s="178"/>
      <c r="J59" s="155"/>
      <c r="K59" s="145"/>
      <c r="L59" s="145">
        <v>161747</v>
      </c>
      <c r="M59" s="128"/>
      <c r="N59" s="178"/>
      <c r="O59" s="144">
        <f t="shared" si="8"/>
        <v>161747</v>
      </c>
      <c r="Q59" s="149"/>
      <c r="R59" s="18">
        <v>161747</v>
      </c>
      <c r="S59" s="152">
        <f t="shared" si="7"/>
        <v>161747</v>
      </c>
      <c r="U59" s="36"/>
      <c r="V59" s="36"/>
      <c r="W59" s="36"/>
      <c r="X59" s="36"/>
    </row>
    <row r="60" spans="1:29" x14ac:dyDescent="0.3">
      <c r="A60" s="137">
        <v>17</v>
      </c>
      <c r="B60" s="205">
        <v>46275</v>
      </c>
      <c r="C60" s="140" t="s">
        <v>152</v>
      </c>
      <c r="D60" s="154"/>
      <c r="E60" s="164">
        <v>28000</v>
      </c>
      <c r="F60" s="100">
        <f t="shared" ref="F60" si="19">SUM(D60:E60)</f>
        <v>28000</v>
      </c>
      <c r="G60" s="155"/>
      <c r="H60" s="128"/>
      <c r="I60" s="178"/>
      <c r="J60" s="155"/>
      <c r="K60" s="145"/>
      <c r="L60" s="126">
        <v>28000</v>
      </c>
      <c r="M60" s="128"/>
      <c r="N60" s="178"/>
      <c r="O60" s="144">
        <f t="shared" ref="O60" si="20">SUM(G60:N60)</f>
        <v>28000</v>
      </c>
      <c r="Q60" s="149"/>
      <c r="R60" s="18">
        <v>28000</v>
      </c>
      <c r="S60" s="152">
        <f t="shared" si="7"/>
        <v>28000</v>
      </c>
      <c r="U60" s="36"/>
      <c r="V60" s="36"/>
      <c r="W60" s="36"/>
      <c r="X60" s="36"/>
    </row>
    <row r="61" spans="1:29" x14ac:dyDescent="0.3">
      <c r="A61" s="137">
        <v>18</v>
      </c>
      <c r="B61" s="205">
        <v>46275</v>
      </c>
      <c r="C61" s="140" t="s">
        <v>153</v>
      </c>
      <c r="D61" s="154"/>
      <c r="E61" s="164">
        <v>91419</v>
      </c>
      <c r="F61" s="100">
        <f t="shared" si="6"/>
        <v>91419</v>
      </c>
      <c r="G61" s="155"/>
      <c r="H61" s="128"/>
      <c r="I61" s="178"/>
      <c r="J61" s="155"/>
      <c r="K61" s="128"/>
      <c r="L61" s="126">
        <v>91419</v>
      </c>
      <c r="M61" s="128"/>
      <c r="N61" s="178"/>
      <c r="O61" s="144">
        <f t="shared" si="8"/>
        <v>91419</v>
      </c>
      <c r="Q61" s="149"/>
      <c r="R61" s="18">
        <v>91419</v>
      </c>
      <c r="S61" s="152">
        <f t="shared" si="7"/>
        <v>91419</v>
      </c>
      <c r="U61" s="36"/>
      <c r="V61" s="36"/>
      <c r="W61" s="36"/>
      <c r="X61" s="36"/>
    </row>
    <row r="62" spans="1:29" x14ac:dyDescent="0.3">
      <c r="A62" s="137">
        <v>19</v>
      </c>
      <c r="B62" s="205">
        <v>46275</v>
      </c>
      <c r="C62" s="140" t="s">
        <v>154</v>
      </c>
      <c r="D62" s="155"/>
      <c r="E62" s="165">
        <v>5000</v>
      </c>
      <c r="F62" s="100">
        <f t="shared" si="6"/>
        <v>5000</v>
      </c>
      <c r="G62" s="155"/>
      <c r="H62" s="128"/>
      <c r="I62" s="178"/>
      <c r="J62" s="155"/>
      <c r="K62" s="128"/>
      <c r="L62" s="126">
        <v>5000</v>
      </c>
      <c r="M62" s="128"/>
      <c r="N62" s="178"/>
      <c r="O62" s="144">
        <f t="shared" si="8"/>
        <v>5000</v>
      </c>
      <c r="Q62" s="149"/>
      <c r="R62" s="18"/>
      <c r="S62" s="152">
        <f t="shared" si="7"/>
        <v>0</v>
      </c>
      <c r="U62" s="36"/>
      <c r="V62" s="36">
        <v>60500</v>
      </c>
      <c r="W62" s="36"/>
      <c r="X62" s="36"/>
    </row>
    <row r="63" spans="1:29" x14ac:dyDescent="0.3">
      <c r="A63" s="137">
        <v>20</v>
      </c>
      <c r="B63" s="205">
        <v>46275</v>
      </c>
      <c r="C63" s="140" t="s">
        <v>155</v>
      </c>
      <c r="D63" s="155"/>
      <c r="E63" s="164">
        <v>223000</v>
      </c>
      <c r="F63" s="100">
        <f t="shared" si="6"/>
        <v>223000</v>
      </c>
      <c r="G63" s="155"/>
      <c r="H63" s="128"/>
      <c r="I63" s="178"/>
      <c r="J63" s="155"/>
      <c r="K63" s="128">
        <v>223000</v>
      </c>
      <c r="L63" s="126"/>
      <c r="M63" s="128"/>
      <c r="N63" s="178"/>
      <c r="O63" s="144">
        <f t="shared" si="8"/>
        <v>223000</v>
      </c>
      <c r="Q63" s="149"/>
      <c r="R63" s="18">
        <v>223000</v>
      </c>
      <c r="S63" s="152">
        <f t="shared" si="7"/>
        <v>223000</v>
      </c>
      <c r="U63" s="36"/>
      <c r="V63" s="36"/>
      <c r="W63" s="36"/>
      <c r="X63" s="36"/>
    </row>
    <row r="64" spans="1:29" x14ac:dyDescent="0.3">
      <c r="A64" s="137">
        <v>21</v>
      </c>
      <c r="B64" s="205">
        <v>46275</v>
      </c>
      <c r="C64" s="140" t="s">
        <v>156</v>
      </c>
      <c r="D64" s="155"/>
      <c r="E64" s="164">
        <v>899000</v>
      </c>
      <c r="F64" s="100">
        <f t="shared" ref="F64" si="21">SUM(D64:E64)</f>
        <v>899000</v>
      </c>
      <c r="G64" s="155"/>
      <c r="H64" s="128"/>
      <c r="I64" s="178"/>
      <c r="K64" s="128"/>
      <c r="L64" s="126"/>
      <c r="M64" s="128"/>
      <c r="N64" s="178">
        <v>899000</v>
      </c>
      <c r="O64" s="144">
        <f t="shared" ref="O64" si="22">SUM(G64:N64)</f>
        <v>899000</v>
      </c>
      <c r="Q64" s="149"/>
      <c r="R64" s="18">
        <v>899000</v>
      </c>
      <c r="S64" s="152">
        <f t="shared" si="7"/>
        <v>899000</v>
      </c>
      <c r="U64" s="36"/>
      <c r="V64" s="36"/>
      <c r="W64" s="36"/>
      <c r="X64" s="36"/>
      <c r="Y64" s="36"/>
      <c r="Z64" s="36"/>
      <c r="AA64" s="36"/>
      <c r="AB64" s="36"/>
      <c r="AC64" s="36"/>
    </row>
    <row r="65" spans="1:29" x14ac:dyDescent="0.3">
      <c r="A65" s="137">
        <v>22</v>
      </c>
      <c r="B65" s="205">
        <v>46276</v>
      </c>
      <c r="C65" s="141" t="s">
        <v>158</v>
      </c>
      <c r="D65" s="154"/>
      <c r="E65" s="164">
        <v>350000</v>
      </c>
      <c r="F65" s="100">
        <f t="shared" si="6"/>
        <v>350000</v>
      </c>
      <c r="G65" s="154"/>
      <c r="H65" s="128"/>
      <c r="I65" s="178"/>
      <c r="J65" s="155">
        <v>350000</v>
      </c>
      <c r="K65" s="128"/>
      <c r="L65" s="126">
        <v>4000</v>
      </c>
      <c r="M65" s="128"/>
      <c r="N65" s="178"/>
      <c r="O65" s="144">
        <f t="shared" si="8"/>
        <v>354000</v>
      </c>
      <c r="Q65" s="149"/>
      <c r="R65" s="18">
        <v>354000</v>
      </c>
      <c r="S65" s="152">
        <f t="shared" si="7"/>
        <v>354000</v>
      </c>
      <c r="U65" s="36"/>
      <c r="V65" s="36">
        <f>258+96</f>
        <v>354</v>
      </c>
      <c r="W65" s="36"/>
      <c r="X65" s="36"/>
      <c r="Y65" s="75"/>
      <c r="Z65" s="76"/>
      <c r="AA65" s="17"/>
      <c r="AB65" s="77"/>
      <c r="AC65" s="36"/>
    </row>
    <row r="66" spans="1:29" x14ac:dyDescent="0.3">
      <c r="A66" s="137">
        <v>23</v>
      </c>
      <c r="B66" s="205">
        <v>46276</v>
      </c>
      <c r="C66" s="141" t="s">
        <v>159</v>
      </c>
      <c r="D66" s="154"/>
      <c r="E66" s="165">
        <v>270000</v>
      </c>
      <c r="F66" s="100">
        <f t="shared" ref="F66:F69" si="23">SUM(D66:E66)</f>
        <v>270000</v>
      </c>
      <c r="G66" s="155"/>
      <c r="H66" s="128"/>
      <c r="I66" s="178"/>
      <c r="J66" s="154"/>
      <c r="K66" s="128">
        <v>270000</v>
      </c>
      <c r="L66" s="126"/>
      <c r="M66" s="128"/>
      <c r="N66" s="178"/>
      <c r="O66" s="144">
        <f t="shared" si="8"/>
        <v>270000</v>
      </c>
      <c r="Q66" s="147"/>
      <c r="R66" s="18">
        <v>270000</v>
      </c>
      <c r="S66" s="152">
        <f t="shared" si="7"/>
        <v>270000</v>
      </c>
      <c r="U66" s="36"/>
      <c r="V66" s="36"/>
      <c r="W66" s="36"/>
      <c r="X66" s="36"/>
      <c r="Y66" s="75"/>
      <c r="Z66" s="76"/>
      <c r="AA66" s="77"/>
      <c r="AB66" s="77"/>
      <c r="AC66" s="36"/>
    </row>
    <row r="67" spans="1:29" x14ac:dyDescent="0.3">
      <c r="A67" s="137">
        <v>24</v>
      </c>
      <c r="B67" s="205">
        <v>46276</v>
      </c>
      <c r="C67" s="141" t="s">
        <v>160</v>
      </c>
      <c r="D67" s="154"/>
      <c r="E67" s="165">
        <v>111000</v>
      </c>
      <c r="F67" s="100">
        <f t="shared" si="23"/>
        <v>111000</v>
      </c>
      <c r="G67" s="155"/>
      <c r="H67" s="128"/>
      <c r="I67" s="178"/>
      <c r="J67" s="154"/>
      <c r="K67" s="128">
        <v>111000</v>
      </c>
      <c r="L67" s="126"/>
      <c r="M67" s="128"/>
      <c r="N67" s="178"/>
      <c r="O67" s="144">
        <f t="shared" si="8"/>
        <v>111000</v>
      </c>
      <c r="Q67" s="150"/>
      <c r="R67" s="18">
        <v>111000</v>
      </c>
      <c r="S67" s="152">
        <f t="shared" si="7"/>
        <v>111000</v>
      </c>
      <c r="U67" s="36"/>
      <c r="V67" s="36"/>
      <c r="W67" s="36"/>
      <c r="X67" s="36"/>
      <c r="Y67" s="75"/>
      <c r="Z67" s="76"/>
      <c r="AA67" s="77"/>
      <c r="AB67" s="77"/>
      <c r="AC67" s="36"/>
    </row>
    <row r="68" spans="1:29" x14ac:dyDescent="0.3">
      <c r="A68" s="137">
        <v>25</v>
      </c>
      <c r="B68" s="205">
        <v>46276</v>
      </c>
      <c r="C68" s="141" t="s">
        <v>161</v>
      </c>
      <c r="D68" s="156"/>
      <c r="E68" s="166">
        <v>6307</v>
      </c>
      <c r="F68" s="119">
        <f t="shared" si="23"/>
        <v>6307</v>
      </c>
      <c r="G68" s="155"/>
      <c r="H68" s="128"/>
      <c r="I68" s="178"/>
      <c r="J68" s="154"/>
      <c r="K68" s="128">
        <v>6307</v>
      </c>
      <c r="L68" s="126"/>
      <c r="M68" s="128"/>
      <c r="N68" s="178"/>
      <c r="O68" s="144">
        <f t="shared" si="8"/>
        <v>6307</v>
      </c>
      <c r="Q68" s="149"/>
      <c r="R68" s="18">
        <v>6307</v>
      </c>
      <c r="S68" s="152">
        <f t="shared" si="7"/>
        <v>6307</v>
      </c>
      <c r="U68" s="36"/>
      <c r="V68" s="36"/>
      <c r="W68" s="36"/>
      <c r="X68" s="36"/>
      <c r="Y68" s="75"/>
      <c r="Z68" s="76"/>
      <c r="AA68" s="77"/>
      <c r="AB68" s="77"/>
      <c r="AC68" s="36"/>
    </row>
    <row r="69" spans="1:29" ht="15.6" x14ac:dyDescent="0.3">
      <c r="A69" s="137">
        <v>26</v>
      </c>
      <c r="B69" s="205">
        <v>46276</v>
      </c>
      <c r="C69" s="141" t="s">
        <v>162</v>
      </c>
      <c r="D69" s="155"/>
      <c r="E69" s="164">
        <v>159064</v>
      </c>
      <c r="F69" s="118">
        <f t="shared" si="23"/>
        <v>159064</v>
      </c>
      <c r="G69" s="155"/>
      <c r="H69" s="128"/>
      <c r="I69" s="178"/>
      <c r="J69" s="154"/>
      <c r="K69" s="128">
        <v>159064</v>
      </c>
      <c r="L69" s="126"/>
      <c r="M69" s="128"/>
      <c r="N69" s="178"/>
      <c r="O69" s="144">
        <f t="shared" si="8"/>
        <v>159064</v>
      </c>
      <c r="Q69" s="151"/>
      <c r="R69" s="18">
        <v>159064</v>
      </c>
      <c r="S69" s="152">
        <f t="shared" si="7"/>
        <v>159064</v>
      </c>
      <c r="U69" s="36"/>
      <c r="V69" s="36"/>
      <c r="W69" s="36"/>
      <c r="X69" s="36"/>
      <c r="Y69" s="36"/>
      <c r="Z69" s="78"/>
      <c r="AA69" s="78"/>
      <c r="AB69" s="78"/>
      <c r="AC69" s="36"/>
    </row>
    <row r="70" spans="1:29" x14ac:dyDescent="0.3">
      <c r="A70" s="137">
        <v>27</v>
      </c>
      <c r="B70" s="205">
        <v>46276</v>
      </c>
      <c r="C70" s="141" t="s">
        <v>161</v>
      </c>
      <c r="D70" s="157"/>
      <c r="E70" s="167">
        <v>33030</v>
      </c>
      <c r="F70" s="100">
        <f t="shared" si="6"/>
        <v>33030</v>
      </c>
      <c r="G70" s="155"/>
      <c r="H70" s="128"/>
      <c r="I70" s="178"/>
      <c r="J70" s="154"/>
      <c r="K70" s="128">
        <v>33030</v>
      </c>
      <c r="L70" s="126"/>
      <c r="M70" s="128"/>
      <c r="N70" s="178"/>
      <c r="O70" s="144">
        <f t="shared" si="8"/>
        <v>33030</v>
      </c>
      <c r="Q70" s="147"/>
      <c r="R70" s="18">
        <v>33030</v>
      </c>
      <c r="S70" s="152">
        <f t="shared" si="7"/>
        <v>33030</v>
      </c>
      <c r="U70" s="36"/>
      <c r="V70" s="36"/>
      <c r="W70" s="36"/>
      <c r="X70" s="36"/>
      <c r="Y70" s="36"/>
      <c r="Z70" s="36"/>
      <c r="AA70" s="36"/>
      <c r="AB70" s="36"/>
      <c r="AC70" s="36"/>
    </row>
    <row r="71" spans="1:29" x14ac:dyDescent="0.3">
      <c r="A71" s="137">
        <v>28</v>
      </c>
      <c r="B71" s="205">
        <v>46276</v>
      </c>
      <c r="C71" s="141" t="s">
        <v>163</v>
      </c>
      <c r="D71" s="154"/>
      <c r="E71" s="167">
        <v>9000</v>
      </c>
      <c r="F71" s="100">
        <f t="shared" si="6"/>
        <v>9000</v>
      </c>
      <c r="G71" s="155"/>
      <c r="H71" s="128"/>
      <c r="I71" s="178"/>
      <c r="J71" s="154"/>
      <c r="K71" s="128">
        <v>9000</v>
      </c>
      <c r="L71" s="126"/>
      <c r="M71" s="128"/>
      <c r="N71" s="178"/>
      <c r="O71" s="144">
        <f t="shared" si="8"/>
        <v>9000</v>
      </c>
      <c r="Q71" s="147"/>
      <c r="R71" s="18">
        <v>9000</v>
      </c>
      <c r="S71" s="152">
        <f t="shared" si="7"/>
        <v>9000</v>
      </c>
      <c r="U71" s="36"/>
      <c r="V71" s="36"/>
      <c r="W71" s="36"/>
      <c r="X71" s="36"/>
      <c r="Y71" s="36"/>
      <c r="Z71" s="36"/>
      <c r="AA71" s="36"/>
      <c r="AB71" s="36"/>
      <c r="AC71" s="36"/>
    </row>
    <row r="72" spans="1:29" x14ac:dyDescent="0.3">
      <c r="A72" s="137">
        <v>29</v>
      </c>
      <c r="B72" s="205">
        <v>46276</v>
      </c>
      <c r="C72" s="128" t="s">
        <v>304</v>
      </c>
      <c r="D72" s="154"/>
      <c r="E72" s="164">
        <v>10452</v>
      </c>
      <c r="F72" s="100">
        <f t="shared" si="6"/>
        <v>10452</v>
      </c>
      <c r="G72" s="155"/>
      <c r="H72" s="128"/>
      <c r="I72" s="178"/>
      <c r="J72" s="154"/>
      <c r="K72" s="128"/>
      <c r="L72" s="126">
        <v>10452</v>
      </c>
      <c r="M72" s="128"/>
      <c r="N72" s="178"/>
      <c r="O72" s="144">
        <f t="shared" si="8"/>
        <v>10452</v>
      </c>
      <c r="Q72" s="149"/>
      <c r="R72" s="18">
        <v>10452</v>
      </c>
      <c r="S72" s="152">
        <f t="shared" si="7"/>
        <v>10452</v>
      </c>
      <c r="U72" s="36"/>
      <c r="V72" s="36"/>
      <c r="W72" s="36"/>
      <c r="X72" s="36"/>
      <c r="Y72" s="36"/>
      <c r="Z72" s="36"/>
      <c r="AA72" s="36"/>
      <c r="AB72" s="36"/>
      <c r="AC72" s="36"/>
    </row>
    <row r="73" spans="1:29" x14ac:dyDescent="0.3">
      <c r="A73" s="137">
        <v>30</v>
      </c>
      <c r="B73" s="205">
        <v>46276</v>
      </c>
      <c r="C73" s="103" t="s">
        <v>164</v>
      </c>
      <c r="D73" s="154"/>
      <c r="E73" s="164">
        <v>3999775</v>
      </c>
      <c r="F73" s="100">
        <f t="shared" si="6"/>
        <v>3999775</v>
      </c>
      <c r="G73" s="155"/>
      <c r="H73" s="128"/>
      <c r="I73" s="178"/>
      <c r="J73" s="154"/>
      <c r="K73" s="128">
        <v>3999775</v>
      </c>
      <c r="L73" s="126"/>
      <c r="M73" s="128"/>
      <c r="N73" s="178"/>
      <c r="O73" s="144">
        <f t="shared" si="8"/>
        <v>3999775</v>
      </c>
      <c r="Q73" s="149"/>
      <c r="R73" s="18">
        <v>3999775</v>
      </c>
      <c r="S73" s="152">
        <f t="shared" si="7"/>
        <v>3999775</v>
      </c>
      <c r="U73" s="36"/>
      <c r="V73" s="36"/>
      <c r="W73" s="36"/>
      <c r="X73" s="36"/>
      <c r="Y73" s="36"/>
      <c r="Z73" s="36"/>
      <c r="AA73" s="36"/>
      <c r="AB73" s="36"/>
      <c r="AC73" s="36"/>
    </row>
    <row r="74" spans="1:29" x14ac:dyDescent="0.3">
      <c r="A74" s="137">
        <v>32</v>
      </c>
      <c r="B74" s="205">
        <v>46279</v>
      </c>
      <c r="C74" s="103" t="s">
        <v>132</v>
      </c>
      <c r="D74" s="154"/>
      <c r="E74" s="164">
        <v>250000</v>
      </c>
      <c r="F74" s="100">
        <f t="shared" si="6"/>
        <v>250000</v>
      </c>
      <c r="G74" s="155"/>
      <c r="H74" s="128"/>
      <c r="I74" s="178"/>
      <c r="J74" s="155">
        <v>250000</v>
      </c>
      <c r="K74" s="128"/>
      <c r="L74" s="126"/>
      <c r="M74" s="128"/>
      <c r="N74" s="178"/>
      <c r="O74" s="144">
        <f t="shared" si="8"/>
        <v>250000</v>
      </c>
      <c r="Q74" s="149"/>
      <c r="R74" s="18"/>
      <c r="S74" s="152">
        <f t="shared" si="7"/>
        <v>0</v>
      </c>
      <c r="U74" s="36"/>
      <c r="V74" s="36"/>
      <c r="W74" s="36"/>
      <c r="X74" s="36"/>
    </row>
    <row r="75" spans="1:29" x14ac:dyDescent="0.3">
      <c r="A75" s="137">
        <v>33</v>
      </c>
      <c r="B75" s="205">
        <v>46279</v>
      </c>
      <c r="C75" s="103" t="s">
        <v>171</v>
      </c>
      <c r="D75" s="154"/>
      <c r="E75" s="164">
        <v>550000</v>
      </c>
      <c r="F75" s="100">
        <f t="shared" si="6"/>
        <v>550000</v>
      </c>
      <c r="G75" s="155"/>
      <c r="H75" s="128"/>
      <c r="I75" s="178"/>
      <c r="J75" s="155">
        <v>550000</v>
      </c>
      <c r="K75" s="128"/>
      <c r="M75" s="128"/>
      <c r="N75" s="178"/>
      <c r="O75" s="144">
        <f t="shared" si="8"/>
        <v>550000</v>
      </c>
      <c r="Q75" s="149"/>
      <c r="R75" s="18"/>
      <c r="S75" s="152">
        <f t="shared" si="7"/>
        <v>0</v>
      </c>
      <c r="U75" s="36"/>
      <c r="V75" s="36" t="s">
        <v>165</v>
      </c>
      <c r="W75" s="36"/>
      <c r="X75" s="36"/>
    </row>
    <row r="76" spans="1:29" x14ac:dyDescent="0.3">
      <c r="A76" s="137">
        <v>34</v>
      </c>
      <c r="B76" s="205">
        <v>46279</v>
      </c>
      <c r="C76" s="141" t="s">
        <v>173</v>
      </c>
      <c r="D76" s="154"/>
      <c r="E76" s="164">
        <v>530548</v>
      </c>
      <c r="F76" s="100">
        <f t="shared" ref="F76" si="24">SUM(D76:E76)</f>
        <v>530548</v>
      </c>
      <c r="G76" s="155"/>
      <c r="H76" s="128"/>
      <c r="I76" s="178"/>
      <c r="J76" s="155"/>
      <c r="K76" s="128"/>
      <c r="L76" s="126">
        <v>530548</v>
      </c>
      <c r="M76" s="128"/>
      <c r="N76" s="178"/>
      <c r="O76" s="144">
        <f t="shared" ref="O76" si="25">SUM(G76:N76)</f>
        <v>530548</v>
      </c>
      <c r="Q76" s="149"/>
      <c r="R76" s="18">
        <v>530548</v>
      </c>
      <c r="S76" s="152">
        <f t="shared" si="7"/>
        <v>530548</v>
      </c>
      <c r="U76" s="36"/>
      <c r="V76" s="36" t="s">
        <v>166</v>
      </c>
      <c r="W76" s="36">
        <v>530548</v>
      </c>
      <c r="X76" s="36"/>
      <c r="Y76" s="23">
        <f>550000-W76</f>
        <v>19452</v>
      </c>
    </row>
    <row r="77" spans="1:29" x14ac:dyDescent="0.3">
      <c r="A77" s="137">
        <v>35</v>
      </c>
      <c r="B77" s="205">
        <v>46279</v>
      </c>
      <c r="C77" s="141" t="s">
        <v>174</v>
      </c>
      <c r="D77" s="154"/>
      <c r="E77" s="154">
        <v>16500</v>
      </c>
      <c r="F77" s="100">
        <f t="shared" si="6"/>
        <v>16500</v>
      </c>
      <c r="G77" s="155"/>
      <c r="H77" s="128"/>
      <c r="I77" s="178"/>
      <c r="J77" s="155"/>
      <c r="K77" s="128"/>
      <c r="L77" s="126">
        <v>16500</v>
      </c>
      <c r="M77" s="128"/>
      <c r="N77" s="178"/>
      <c r="O77" s="144">
        <f t="shared" si="8"/>
        <v>16500</v>
      </c>
      <c r="Q77" s="149"/>
      <c r="R77" s="18">
        <v>16500</v>
      </c>
      <c r="S77" s="152">
        <f t="shared" si="7"/>
        <v>16500</v>
      </c>
      <c r="U77" s="36"/>
      <c r="V77" s="36" t="s">
        <v>167</v>
      </c>
      <c r="W77" s="36">
        <v>19452</v>
      </c>
      <c r="X77" s="36"/>
    </row>
    <row r="78" spans="1:29" x14ac:dyDescent="0.3">
      <c r="A78" s="137">
        <v>36</v>
      </c>
      <c r="B78" s="205">
        <v>46279</v>
      </c>
      <c r="C78" s="141" t="s">
        <v>134</v>
      </c>
      <c r="D78" s="154"/>
      <c r="E78" s="164">
        <v>266500</v>
      </c>
      <c r="F78" s="100">
        <f t="shared" si="6"/>
        <v>266500</v>
      </c>
      <c r="G78" s="155"/>
      <c r="H78" s="128"/>
      <c r="I78" s="178"/>
      <c r="J78" s="155"/>
      <c r="K78" s="128"/>
      <c r="L78" s="126">
        <v>266500</v>
      </c>
      <c r="M78" s="128"/>
      <c r="N78" s="178"/>
      <c r="O78" s="144">
        <f t="shared" si="8"/>
        <v>266500</v>
      </c>
      <c r="Q78" s="149"/>
      <c r="R78" s="18">
        <v>266500</v>
      </c>
      <c r="S78" s="152">
        <f t="shared" si="7"/>
        <v>266500</v>
      </c>
      <c r="U78" s="36"/>
      <c r="V78" s="36"/>
      <c r="W78" s="36">
        <f>G76-W77</f>
        <v>-19452</v>
      </c>
      <c r="X78" s="36"/>
    </row>
    <row r="79" spans="1:29" x14ac:dyDescent="0.3">
      <c r="A79" s="137">
        <v>37</v>
      </c>
      <c r="B79" s="205">
        <v>46279</v>
      </c>
      <c r="C79" s="128" t="s">
        <v>175</v>
      </c>
      <c r="D79" s="154"/>
      <c r="E79" s="164">
        <v>1000000</v>
      </c>
      <c r="F79" s="100">
        <f t="shared" si="6"/>
        <v>1000000</v>
      </c>
      <c r="G79" s="155"/>
      <c r="H79" s="128"/>
      <c r="I79" s="178"/>
      <c r="J79" s="155"/>
      <c r="K79" s="164"/>
      <c r="L79" s="126"/>
      <c r="M79" s="128"/>
      <c r="N79" s="178">
        <v>1000000</v>
      </c>
      <c r="O79" s="144">
        <f t="shared" si="8"/>
        <v>1000000</v>
      </c>
      <c r="Q79" s="149"/>
      <c r="R79" s="18"/>
      <c r="S79" s="152">
        <f t="shared" si="7"/>
        <v>0</v>
      </c>
      <c r="U79" s="36"/>
      <c r="V79" s="36"/>
      <c r="W79" s="36"/>
      <c r="X79" s="36"/>
    </row>
    <row r="80" spans="1:29" x14ac:dyDescent="0.3">
      <c r="A80" s="137">
        <v>38</v>
      </c>
      <c r="B80" s="205">
        <v>46279</v>
      </c>
      <c r="C80" s="128" t="s">
        <v>136</v>
      </c>
      <c r="D80" s="154"/>
      <c r="E80" s="164">
        <v>8000</v>
      </c>
      <c r="F80" s="100">
        <f t="shared" si="6"/>
        <v>8000</v>
      </c>
      <c r="G80" s="155"/>
      <c r="H80" s="128"/>
      <c r="I80" s="178"/>
      <c r="J80" s="155"/>
      <c r="K80" s="128"/>
      <c r="L80" s="126">
        <v>8000</v>
      </c>
      <c r="M80" s="128"/>
      <c r="N80" s="178"/>
      <c r="O80" s="144">
        <f t="shared" si="8"/>
        <v>8000</v>
      </c>
      <c r="Q80" s="149"/>
      <c r="R80" s="18"/>
      <c r="S80" s="152">
        <f t="shared" si="7"/>
        <v>0</v>
      </c>
      <c r="U80" s="36"/>
      <c r="V80" s="36"/>
      <c r="W80" s="36"/>
      <c r="X80" s="36"/>
    </row>
    <row r="81" spans="1:25" x14ac:dyDescent="0.3">
      <c r="A81" s="137">
        <v>39</v>
      </c>
      <c r="B81" s="205">
        <v>46280</v>
      </c>
      <c r="C81" s="128" t="s">
        <v>176</v>
      </c>
      <c r="D81" s="154"/>
      <c r="E81" s="164">
        <v>15346</v>
      </c>
      <c r="F81" s="100">
        <f t="shared" ref="F81" si="26">SUM(D81:E81)</f>
        <v>15346</v>
      </c>
      <c r="G81" s="155"/>
      <c r="H81" s="128"/>
      <c r="I81" s="178"/>
      <c r="J81" s="155"/>
      <c r="K81" s="128"/>
      <c r="L81" s="126">
        <v>15346</v>
      </c>
      <c r="M81" s="128"/>
      <c r="N81" s="178"/>
      <c r="O81" s="144">
        <f t="shared" ref="O81" si="27">SUM(G81:N81)</f>
        <v>15346</v>
      </c>
      <c r="Q81" s="149"/>
      <c r="R81" s="18">
        <v>15346</v>
      </c>
      <c r="S81" s="152">
        <f t="shared" si="7"/>
        <v>15346</v>
      </c>
      <c r="U81" s="36"/>
      <c r="V81" s="36"/>
      <c r="W81" s="36"/>
      <c r="X81" s="36"/>
    </row>
    <row r="82" spans="1:25" x14ac:dyDescent="0.3">
      <c r="A82" s="137">
        <v>40</v>
      </c>
      <c r="B82" s="205">
        <v>46280</v>
      </c>
      <c r="C82" s="128" t="s">
        <v>177</v>
      </c>
      <c r="D82" s="154"/>
      <c r="E82" s="164">
        <v>41923</v>
      </c>
      <c r="F82" s="100">
        <f t="shared" si="6"/>
        <v>41923</v>
      </c>
      <c r="G82" s="155"/>
      <c r="H82" s="128"/>
      <c r="I82" s="178"/>
      <c r="J82" s="155"/>
      <c r="K82" s="128"/>
      <c r="L82" s="126">
        <v>41923</v>
      </c>
      <c r="M82" s="128"/>
      <c r="N82" s="178"/>
      <c r="O82" s="144">
        <f t="shared" si="8"/>
        <v>41923</v>
      </c>
      <c r="Q82" s="149"/>
      <c r="R82" s="18">
        <v>41923</v>
      </c>
      <c r="S82" s="152">
        <f t="shared" si="7"/>
        <v>41923</v>
      </c>
      <c r="V82" s="23" t="s">
        <v>168</v>
      </c>
      <c r="W82" s="36"/>
      <c r="Y82" s="23">
        <f>550000+204000</f>
        <v>754000</v>
      </c>
    </row>
    <row r="83" spans="1:25" x14ac:dyDescent="0.3">
      <c r="A83" s="137">
        <v>41</v>
      </c>
      <c r="B83" s="201">
        <v>46280</v>
      </c>
      <c r="C83" s="212" t="s">
        <v>132</v>
      </c>
      <c r="D83" s="200"/>
      <c r="E83" s="202">
        <v>0</v>
      </c>
      <c r="F83" s="213">
        <f t="shared" si="6"/>
        <v>0</v>
      </c>
      <c r="G83" s="214"/>
      <c r="H83" s="215"/>
      <c r="I83" s="216"/>
      <c r="J83" s="214">
        <v>0</v>
      </c>
      <c r="K83" s="128"/>
      <c r="L83" s="126"/>
      <c r="M83" s="128"/>
      <c r="N83" s="178"/>
      <c r="O83" s="144">
        <f t="shared" si="8"/>
        <v>0</v>
      </c>
      <c r="Q83" s="149"/>
      <c r="R83" s="18"/>
      <c r="S83" s="152">
        <f t="shared" si="7"/>
        <v>0</v>
      </c>
      <c r="V83" s="23" t="s">
        <v>169</v>
      </c>
      <c r="W83" s="36"/>
      <c r="Y83" s="23">
        <f>-398548-25000</f>
        <v>-423548</v>
      </c>
    </row>
    <row r="84" spans="1:25" x14ac:dyDescent="0.3">
      <c r="A84" s="137">
        <v>42</v>
      </c>
      <c r="B84" s="205">
        <v>46283</v>
      </c>
      <c r="C84" s="128" t="s">
        <v>179</v>
      </c>
      <c r="D84" s="154"/>
      <c r="E84" s="164">
        <v>25000</v>
      </c>
      <c r="F84" s="100">
        <f t="shared" si="6"/>
        <v>25000</v>
      </c>
      <c r="G84" s="155"/>
      <c r="H84" s="128"/>
      <c r="I84" s="178"/>
      <c r="J84" s="155"/>
      <c r="K84" s="128"/>
      <c r="L84" s="126">
        <v>25000</v>
      </c>
      <c r="M84" s="128"/>
      <c r="N84" s="178"/>
      <c r="O84" s="144">
        <f t="shared" si="8"/>
        <v>25000</v>
      </c>
      <c r="Q84" s="149"/>
      <c r="R84" s="18">
        <v>25000</v>
      </c>
      <c r="S84" s="152">
        <f t="shared" si="7"/>
        <v>25000</v>
      </c>
      <c r="V84" s="23" t="s">
        <v>170</v>
      </c>
      <c r="Y84" s="23">
        <v>-16500</v>
      </c>
    </row>
    <row r="85" spans="1:25" x14ac:dyDescent="0.3">
      <c r="A85" s="137">
        <v>43</v>
      </c>
      <c r="B85" s="205">
        <v>46283</v>
      </c>
      <c r="C85" s="128" t="s">
        <v>180</v>
      </c>
      <c r="D85" s="154"/>
      <c r="E85" s="164">
        <v>5000</v>
      </c>
      <c r="F85" s="118">
        <f t="shared" si="6"/>
        <v>5000</v>
      </c>
      <c r="G85" s="155"/>
      <c r="H85" s="128"/>
      <c r="I85" s="178"/>
      <c r="J85" s="155"/>
      <c r="K85" s="128"/>
      <c r="L85" s="126">
        <v>5000</v>
      </c>
      <c r="M85" s="128"/>
      <c r="N85" s="178"/>
      <c r="O85" s="144">
        <f t="shared" si="8"/>
        <v>5000</v>
      </c>
      <c r="Q85" s="149"/>
      <c r="R85" s="18">
        <v>5000</v>
      </c>
      <c r="S85" s="152">
        <f t="shared" si="7"/>
        <v>5000</v>
      </c>
      <c r="V85" s="23" t="s">
        <v>167</v>
      </c>
      <c r="Y85" s="23">
        <v>-266500</v>
      </c>
    </row>
    <row r="86" spans="1:25" ht="17.25" customHeight="1" x14ac:dyDescent="0.3">
      <c r="A86" s="137">
        <v>44</v>
      </c>
      <c r="B86" s="205">
        <v>46286</v>
      </c>
      <c r="C86" s="128" t="s">
        <v>183</v>
      </c>
      <c r="D86" s="154"/>
      <c r="E86" s="164">
        <v>49000</v>
      </c>
      <c r="F86" s="118">
        <f t="shared" si="6"/>
        <v>49000</v>
      </c>
      <c r="G86" s="155"/>
      <c r="H86" s="128"/>
      <c r="I86" s="178"/>
      <c r="J86" s="155"/>
      <c r="K86" s="128"/>
      <c r="L86" s="126">
        <v>49000</v>
      </c>
      <c r="M86" s="128"/>
      <c r="N86" s="178"/>
      <c r="O86" s="144">
        <f t="shared" si="8"/>
        <v>49000</v>
      </c>
      <c r="Q86" s="172"/>
      <c r="R86" s="18">
        <v>49000</v>
      </c>
      <c r="S86" s="152">
        <f t="shared" si="7"/>
        <v>49000</v>
      </c>
      <c r="Y86" s="23">
        <f>SUM(Y82:Y85)</f>
        <v>47452</v>
      </c>
    </row>
    <row r="87" spans="1:25" ht="15" customHeight="1" x14ac:dyDescent="0.3">
      <c r="A87" s="137">
        <v>45</v>
      </c>
      <c r="B87" s="205">
        <v>46286</v>
      </c>
      <c r="C87" s="128" t="s">
        <v>184</v>
      </c>
      <c r="D87" s="155"/>
      <c r="E87" s="168">
        <v>50000</v>
      </c>
      <c r="F87" s="118">
        <f t="shared" si="6"/>
        <v>50000</v>
      </c>
      <c r="G87" s="155"/>
      <c r="H87" s="128"/>
      <c r="I87" s="178"/>
      <c r="J87" s="155"/>
      <c r="K87" s="128"/>
      <c r="L87" s="126">
        <v>50000</v>
      </c>
      <c r="M87" s="128"/>
      <c r="N87" s="178"/>
      <c r="O87" s="144">
        <f t="shared" si="8"/>
        <v>50000</v>
      </c>
      <c r="Q87" s="172"/>
      <c r="R87" s="18">
        <v>50000</v>
      </c>
      <c r="S87" s="152">
        <f t="shared" si="7"/>
        <v>50000</v>
      </c>
    </row>
    <row r="88" spans="1:25" ht="15" customHeight="1" x14ac:dyDescent="0.3">
      <c r="A88" s="137">
        <v>46</v>
      </c>
      <c r="B88" s="205">
        <v>46286</v>
      </c>
      <c r="C88" s="141" t="s">
        <v>185</v>
      </c>
      <c r="D88" s="155"/>
      <c r="E88" s="128">
        <v>227585</v>
      </c>
      <c r="F88" s="118">
        <f t="shared" si="6"/>
        <v>227585</v>
      </c>
      <c r="G88" s="174"/>
      <c r="H88" s="128"/>
      <c r="I88" s="178"/>
      <c r="J88" s="155"/>
      <c r="K88" s="128"/>
      <c r="L88" s="126">
        <v>227585</v>
      </c>
      <c r="M88" s="128"/>
      <c r="N88" s="178"/>
      <c r="O88" s="144">
        <f t="shared" si="8"/>
        <v>227585</v>
      </c>
      <c r="Q88" s="172"/>
      <c r="R88" s="18">
        <v>227585</v>
      </c>
      <c r="S88" s="152">
        <f t="shared" si="7"/>
        <v>227585</v>
      </c>
      <c r="V88" s="24"/>
    </row>
    <row r="89" spans="1:25" x14ac:dyDescent="0.3">
      <c r="A89" s="137">
        <v>47</v>
      </c>
      <c r="B89" s="205">
        <v>46283</v>
      </c>
      <c r="C89" s="141" t="s">
        <v>186</v>
      </c>
      <c r="D89" s="158"/>
      <c r="E89" s="169">
        <v>10000</v>
      </c>
      <c r="F89" s="144">
        <f t="shared" si="6"/>
        <v>10000</v>
      </c>
      <c r="G89" s="174"/>
      <c r="H89" s="145"/>
      <c r="I89" s="179"/>
      <c r="J89" s="174"/>
      <c r="K89" s="145"/>
      <c r="L89" s="186"/>
      <c r="M89" s="145">
        <v>10000</v>
      </c>
      <c r="N89" s="179"/>
      <c r="O89" s="144">
        <f t="shared" si="8"/>
        <v>10000</v>
      </c>
      <c r="Q89" s="172"/>
      <c r="R89" s="18">
        <v>10000</v>
      </c>
      <c r="S89" s="152">
        <f t="shared" si="7"/>
        <v>10000</v>
      </c>
      <c r="V89" s="24"/>
    </row>
    <row r="90" spans="1:25" x14ac:dyDescent="0.3">
      <c r="A90" s="137">
        <v>48</v>
      </c>
      <c r="B90" s="205">
        <v>46267</v>
      </c>
      <c r="C90" s="141" t="s">
        <v>175</v>
      </c>
      <c r="D90" s="158"/>
      <c r="E90" s="169">
        <v>81960</v>
      </c>
      <c r="F90" s="144">
        <f t="shared" si="6"/>
        <v>81960</v>
      </c>
      <c r="G90" s="174"/>
      <c r="H90" s="145"/>
      <c r="I90" s="179"/>
      <c r="J90" s="174">
        <v>81960</v>
      </c>
      <c r="K90" s="145"/>
      <c r="L90" s="186"/>
      <c r="M90" s="145"/>
      <c r="N90" s="179"/>
      <c r="O90" s="144">
        <f t="shared" si="8"/>
        <v>81960</v>
      </c>
      <c r="Q90" s="172"/>
      <c r="R90" s="18"/>
      <c r="S90" s="152">
        <f t="shared" si="7"/>
        <v>0</v>
      </c>
      <c r="V90" s="24"/>
    </row>
    <row r="91" spans="1:25" x14ac:dyDescent="0.3">
      <c r="A91" s="137">
        <v>49</v>
      </c>
      <c r="B91" s="205">
        <v>46286</v>
      </c>
      <c r="C91" s="206" t="s">
        <v>187</v>
      </c>
      <c r="D91" s="158"/>
      <c r="E91" s="169">
        <v>3135</v>
      </c>
      <c r="F91" s="144">
        <f t="shared" si="6"/>
        <v>3135</v>
      </c>
      <c r="G91" s="174"/>
      <c r="H91" s="145"/>
      <c r="I91" s="179"/>
      <c r="J91" s="174">
        <f>387010-383875</f>
        <v>3135</v>
      </c>
      <c r="K91" s="145"/>
      <c r="L91" s="186"/>
      <c r="M91" s="145"/>
      <c r="N91" s="179"/>
      <c r="O91" s="144">
        <f t="shared" si="8"/>
        <v>3135</v>
      </c>
      <c r="Q91" s="172"/>
      <c r="R91" s="18">
        <v>3135</v>
      </c>
      <c r="S91" s="152">
        <f t="shared" si="7"/>
        <v>3135</v>
      </c>
      <c r="V91" s="24"/>
    </row>
    <row r="92" spans="1:25" x14ac:dyDescent="0.3">
      <c r="A92" s="137">
        <v>50</v>
      </c>
      <c r="B92" s="208">
        <v>46283</v>
      </c>
      <c r="C92" s="206" t="s">
        <v>188</v>
      </c>
      <c r="D92" s="207"/>
      <c r="E92" s="169">
        <v>237600</v>
      </c>
      <c r="F92" s="144">
        <f t="shared" si="6"/>
        <v>237600</v>
      </c>
      <c r="G92" s="174"/>
      <c r="H92" s="145"/>
      <c r="I92" s="179"/>
      <c r="J92" s="174"/>
      <c r="K92" s="145">
        <v>237600</v>
      </c>
      <c r="L92" s="186"/>
      <c r="M92" s="145"/>
      <c r="N92" s="179"/>
      <c r="O92" s="144">
        <f t="shared" si="8"/>
        <v>237600</v>
      </c>
      <c r="Q92" s="172"/>
      <c r="R92" s="18">
        <v>237600</v>
      </c>
      <c r="S92" s="152">
        <f t="shared" si="7"/>
        <v>237600</v>
      </c>
      <c r="V92" s="24"/>
    </row>
    <row r="93" spans="1:25" x14ac:dyDescent="0.3">
      <c r="A93" s="137">
        <v>51</v>
      </c>
      <c r="B93" s="208">
        <v>46283</v>
      </c>
      <c r="C93" s="206" t="s">
        <v>202</v>
      </c>
      <c r="D93" s="159"/>
      <c r="E93" s="169">
        <v>26000</v>
      </c>
      <c r="F93" s="144">
        <f t="shared" si="6"/>
        <v>26000</v>
      </c>
      <c r="G93" s="174"/>
      <c r="H93" s="145"/>
      <c r="I93" s="179"/>
      <c r="J93" s="174"/>
      <c r="K93" s="145">
        <v>26000</v>
      </c>
      <c r="L93" s="186"/>
      <c r="M93" s="145"/>
      <c r="N93" s="179"/>
      <c r="O93" s="144">
        <f t="shared" si="8"/>
        <v>26000</v>
      </c>
      <c r="Q93" s="172"/>
      <c r="R93" s="18">
        <v>26000</v>
      </c>
      <c r="S93" s="152">
        <f t="shared" si="7"/>
        <v>26000</v>
      </c>
      <c r="V93" s="24"/>
    </row>
    <row r="94" spans="1:25" x14ac:dyDescent="0.3">
      <c r="A94" s="137">
        <v>52</v>
      </c>
      <c r="B94" s="208">
        <v>46287</v>
      </c>
      <c r="C94" s="206" t="s">
        <v>191</v>
      </c>
      <c r="D94" s="159"/>
      <c r="E94" s="169">
        <v>57587</v>
      </c>
      <c r="F94" s="144">
        <f t="shared" si="6"/>
        <v>57587</v>
      </c>
      <c r="G94" s="174"/>
      <c r="H94" s="145"/>
      <c r="I94" s="179"/>
      <c r="J94" s="174"/>
      <c r="K94" s="145">
        <v>57587</v>
      </c>
      <c r="L94" s="186"/>
      <c r="M94" s="145"/>
      <c r="N94" s="179"/>
      <c r="O94" s="144">
        <f t="shared" si="8"/>
        <v>57587</v>
      </c>
      <c r="Q94" s="172"/>
      <c r="R94" s="18">
        <v>57587</v>
      </c>
      <c r="S94" s="148">
        <f t="shared" si="7"/>
        <v>57587</v>
      </c>
      <c r="V94" s="24"/>
    </row>
    <row r="95" spans="1:25" x14ac:dyDescent="0.3">
      <c r="A95" s="137">
        <v>53</v>
      </c>
      <c r="B95" s="208">
        <v>46287</v>
      </c>
      <c r="C95" s="206" t="s">
        <v>190</v>
      </c>
      <c r="D95" s="207"/>
      <c r="E95" s="169">
        <v>10000</v>
      </c>
      <c r="F95" s="144">
        <f t="shared" si="6"/>
        <v>10000</v>
      </c>
      <c r="G95" s="174"/>
      <c r="H95" s="145"/>
      <c r="I95" s="179"/>
      <c r="J95" s="174"/>
      <c r="K95" s="145">
        <v>10000</v>
      </c>
      <c r="L95" s="186"/>
      <c r="M95" s="145"/>
      <c r="N95" s="179"/>
      <c r="O95" s="144">
        <f t="shared" si="8"/>
        <v>10000</v>
      </c>
      <c r="Q95" s="172"/>
      <c r="R95" s="18">
        <v>10000</v>
      </c>
      <c r="S95" s="148">
        <f t="shared" si="7"/>
        <v>10000</v>
      </c>
      <c r="V95" s="24"/>
    </row>
    <row r="96" spans="1:25" x14ac:dyDescent="0.3">
      <c r="A96" s="137">
        <v>54</v>
      </c>
      <c r="B96" s="208">
        <v>46282</v>
      </c>
      <c r="C96" s="128" t="s">
        <v>192</v>
      </c>
      <c r="D96" s="158"/>
      <c r="E96" s="169">
        <v>5000</v>
      </c>
      <c r="F96" s="144">
        <f t="shared" si="6"/>
        <v>5000</v>
      </c>
      <c r="G96" s="174"/>
      <c r="H96" s="145"/>
      <c r="I96" s="179"/>
      <c r="J96" s="174"/>
      <c r="K96" s="145"/>
      <c r="L96" s="186">
        <v>5000</v>
      </c>
      <c r="M96" s="145"/>
      <c r="N96" s="179"/>
      <c r="O96" s="144">
        <f t="shared" si="8"/>
        <v>5000</v>
      </c>
      <c r="Q96" s="172"/>
      <c r="R96" s="18">
        <v>5000</v>
      </c>
      <c r="S96" s="148">
        <f t="shared" si="7"/>
        <v>5000</v>
      </c>
      <c r="V96" s="24"/>
    </row>
    <row r="97" spans="1:22" x14ac:dyDescent="0.3">
      <c r="A97" s="137">
        <v>55</v>
      </c>
      <c r="B97" s="208">
        <v>46287</v>
      </c>
      <c r="C97" s="128" t="s">
        <v>193</v>
      </c>
      <c r="D97" s="158"/>
      <c r="E97" s="169">
        <v>3300</v>
      </c>
      <c r="F97" s="144">
        <f t="shared" si="6"/>
        <v>3300</v>
      </c>
      <c r="G97" s="174"/>
      <c r="H97" s="145"/>
      <c r="I97" s="179"/>
      <c r="J97" s="174"/>
      <c r="K97" s="222">
        <v>3300</v>
      </c>
      <c r="L97" s="186"/>
      <c r="M97" s="145"/>
      <c r="N97" s="179"/>
      <c r="O97" s="144">
        <f t="shared" si="8"/>
        <v>3300</v>
      </c>
      <c r="Q97" s="172"/>
      <c r="R97" s="18">
        <v>3300</v>
      </c>
      <c r="S97" s="148">
        <f t="shared" si="7"/>
        <v>3300</v>
      </c>
      <c r="V97" s="24"/>
    </row>
    <row r="98" spans="1:22" s="59" customFormat="1" x14ac:dyDescent="0.3">
      <c r="A98" s="137">
        <v>56</v>
      </c>
      <c r="B98" s="208">
        <v>46287</v>
      </c>
      <c r="C98" s="128" t="s">
        <v>109</v>
      </c>
      <c r="D98" s="160"/>
      <c r="E98" s="169">
        <v>60500</v>
      </c>
      <c r="F98" s="145">
        <f t="shared" si="6"/>
        <v>60500</v>
      </c>
      <c r="G98" s="174"/>
      <c r="H98" s="145"/>
      <c r="I98" s="179"/>
      <c r="J98" s="174"/>
      <c r="K98" s="145">
        <v>60500</v>
      </c>
      <c r="L98" s="186"/>
      <c r="M98" s="145"/>
      <c r="N98" s="179"/>
      <c r="O98" s="145">
        <f t="shared" si="8"/>
        <v>60500</v>
      </c>
      <c r="Q98" s="172"/>
      <c r="R98" s="18">
        <v>60500</v>
      </c>
      <c r="S98" s="148">
        <f t="shared" si="7"/>
        <v>60500</v>
      </c>
      <c r="V98" s="65"/>
    </row>
    <row r="99" spans="1:22" x14ac:dyDescent="0.3">
      <c r="A99" s="137">
        <v>57</v>
      </c>
      <c r="B99" s="208">
        <v>46287</v>
      </c>
      <c r="C99" s="128" t="s">
        <v>194</v>
      </c>
      <c r="D99" s="160"/>
      <c r="E99" s="169">
        <v>5180</v>
      </c>
      <c r="F99" s="144">
        <f t="shared" si="6"/>
        <v>5180</v>
      </c>
      <c r="G99" s="174"/>
      <c r="H99" s="145"/>
      <c r="I99" s="179"/>
      <c r="J99" s="174"/>
      <c r="K99" s="222">
        <v>5180</v>
      </c>
      <c r="L99" s="186"/>
      <c r="M99" s="145"/>
      <c r="N99" s="179"/>
      <c r="O99" s="144">
        <f t="shared" si="8"/>
        <v>5180</v>
      </c>
      <c r="Q99" s="172"/>
      <c r="R99" s="18">
        <v>5180</v>
      </c>
      <c r="S99" s="148">
        <f t="shared" si="7"/>
        <v>5180</v>
      </c>
      <c r="V99" s="24"/>
    </row>
    <row r="100" spans="1:22" x14ac:dyDescent="0.3">
      <c r="A100" s="137">
        <v>58</v>
      </c>
      <c r="B100" s="208">
        <v>46287</v>
      </c>
      <c r="C100" s="103" t="s">
        <v>196</v>
      </c>
      <c r="D100" s="160"/>
      <c r="E100" s="169">
        <v>467258</v>
      </c>
      <c r="F100" s="144">
        <f t="shared" si="6"/>
        <v>467258</v>
      </c>
      <c r="G100" s="174"/>
      <c r="H100" s="145"/>
      <c r="I100" s="179"/>
      <c r="J100" s="174"/>
      <c r="K100" s="145">
        <v>467258</v>
      </c>
      <c r="L100" s="186"/>
      <c r="M100" s="145"/>
      <c r="N100" s="179"/>
      <c r="O100" s="144">
        <f t="shared" si="8"/>
        <v>467258</v>
      </c>
      <c r="Q100" s="172"/>
      <c r="R100" s="18">
        <v>467258</v>
      </c>
      <c r="S100" s="148">
        <f t="shared" si="7"/>
        <v>467258</v>
      </c>
      <c r="V100" s="24"/>
    </row>
    <row r="101" spans="1:22" x14ac:dyDescent="0.3">
      <c r="A101" s="137">
        <v>59</v>
      </c>
      <c r="B101" s="208">
        <v>46287</v>
      </c>
      <c r="C101" s="141" t="s">
        <v>197</v>
      </c>
      <c r="D101" s="158"/>
      <c r="E101" s="169">
        <v>5350</v>
      </c>
      <c r="F101" s="144">
        <f t="shared" si="6"/>
        <v>5350</v>
      </c>
      <c r="G101" s="174"/>
      <c r="H101" s="145"/>
      <c r="I101" s="179"/>
      <c r="J101" s="174"/>
      <c r="K101" s="145">
        <v>5350</v>
      </c>
      <c r="L101" s="186"/>
      <c r="M101" s="145"/>
      <c r="N101" s="179"/>
      <c r="O101" s="144">
        <f t="shared" si="8"/>
        <v>5350</v>
      </c>
      <c r="Q101" s="149"/>
      <c r="R101" s="18">
        <v>5350</v>
      </c>
      <c r="S101" s="148">
        <f t="shared" si="7"/>
        <v>5350</v>
      </c>
      <c r="V101" s="24"/>
    </row>
    <row r="102" spans="1:22" x14ac:dyDescent="0.3">
      <c r="A102" s="137">
        <v>60</v>
      </c>
      <c r="B102" s="208">
        <v>46287</v>
      </c>
      <c r="C102" s="141" t="s">
        <v>198</v>
      </c>
      <c r="D102" s="158"/>
      <c r="E102" s="169">
        <v>82500</v>
      </c>
      <c r="F102" s="144">
        <f t="shared" si="6"/>
        <v>82500</v>
      </c>
      <c r="G102" s="174"/>
      <c r="H102" s="145"/>
      <c r="I102" s="179"/>
      <c r="J102" s="174"/>
      <c r="K102" s="222">
        <v>82500</v>
      </c>
      <c r="L102" s="186"/>
      <c r="M102" s="145"/>
      <c r="N102" s="179"/>
      <c r="O102" s="144">
        <f t="shared" si="8"/>
        <v>82500</v>
      </c>
      <c r="Q102" s="149"/>
      <c r="R102" s="18">
        <v>82500</v>
      </c>
      <c r="S102" s="148">
        <f t="shared" si="7"/>
        <v>82500</v>
      </c>
      <c r="V102" s="24"/>
    </row>
    <row r="103" spans="1:22" x14ac:dyDescent="0.3">
      <c r="A103" s="137">
        <v>61</v>
      </c>
      <c r="B103" s="208">
        <v>46287</v>
      </c>
      <c r="C103" s="141" t="s">
        <v>199</v>
      </c>
      <c r="D103" s="158"/>
      <c r="E103" s="169">
        <v>165000</v>
      </c>
      <c r="F103" s="144">
        <f t="shared" si="6"/>
        <v>165000</v>
      </c>
      <c r="G103" s="174"/>
      <c r="H103" s="145"/>
      <c r="I103" s="179"/>
      <c r="J103" s="174"/>
      <c r="K103" s="222">
        <v>165000</v>
      </c>
      <c r="L103" s="186"/>
      <c r="M103" s="145"/>
      <c r="N103" s="179"/>
      <c r="O103" s="144">
        <f t="shared" si="8"/>
        <v>165000</v>
      </c>
      <c r="Q103" s="149"/>
      <c r="R103" s="18">
        <v>165000</v>
      </c>
      <c r="S103" s="148">
        <f t="shared" si="7"/>
        <v>165000</v>
      </c>
      <c r="V103" s="24"/>
    </row>
    <row r="104" spans="1:22" x14ac:dyDescent="0.3">
      <c r="A104" s="137">
        <v>62</v>
      </c>
      <c r="B104" s="134">
        <v>46289</v>
      </c>
      <c r="C104" s="141" t="s">
        <v>136</v>
      </c>
      <c r="D104" s="158"/>
      <c r="E104" s="169">
        <v>11000</v>
      </c>
      <c r="F104" s="144">
        <f t="shared" si="6"/>
        <v>11000</v>
      </c>
      <c r="G104" s="174"/>
      <c r="H104" s="145"/>
      <c r="I104" s="179"/>
      <c r="J104" s="174"/>
      <c r="K104" s="145"/>
      <c r="L104" s="186">
        <v>11000</v>
      </c>
      <c r="M104" s="145"/>
      <c r="N104" s="179"/>
      <c r="O104" s="144">
        <f t="shared" si="8"/>
        <v>11000</v>
      </c>
      <c r="Q104" s="149"/>
      <c r="R104" s="18"/>
      <c r="S104" s="148">
        <f t="shared" si="7"/>
        <v>0</v>
      </c>
    </row>
    <row r="105" spans="1:22" ht="14.4" customHeight="1" x14ac:dyDescent="0.3">
      <c r="A105" s="137">
        <v>63</v>
      </c>
      <c r="B105" s="134">
        <v>46289</v>
      </c>
      <c r="C105" s="141" t="s">
        <v>136</v>
      </c>
      <c r="D105" s="161"/>
      <c r="E105" s="170">
        <v>3000</v>
      </c>
      <c r="F105" s="144">
        <f t="shared" si="6"/>
        <v>3000</v>
      </c>
      <c r="G105" s="175"/>
      <c r="H105" s="144"/>
      <c r="I105" s="180"/>
      <c r="J105" s="183"/>
      <c r="K105" s="144"/>
      <c r="L105" s="187">
        <v>3000</v>
      </c>
      <c r="M105" s="144"/>
      <c r="N105" s="180"/>
      <c r="O105" s="144">
        <f t="shared" si="8"/>
        <v>3000</v>
      </c>
      <c r="Q105" s="149"/>
      <c r="R105" s="18"/>
      <c r="S105" s="148">
        <f t="shared" si="7"/>
        <v>0</v>
      </c>
    </row>
    <row r="106" spans="1:22" ht="14.4" customHeight="1" x14ac:dyDescent="0.3">
      <c r="A106" s="137">
        <v>64</v>
      </c>
      <c r="B106" s="134">
        <v>46294</v>
      </c>
      <c r="C106" s="141" t="s">
        <v>205</v>
      </c>
      <c r="D106" s="183">
        <v>30000</v>
      </c>
      <c r="E106" s="170">
        <v>250</v>
      </c>
      <c r="F106" s="144">
        <f t="shared" si="6"/>
        <v>30250</v>
      </c>
      <c r="G106" s="175">
        <v>30000</v>
      </c>
      <c r="H106" s="144"/>
      <c r="I106" s="180"/>
      <c r="J106" s="183"/>
      <c r="K106" s="144"/>
      <c r="L106" s="187">
        <v>250</v>
      </c>
      <c r="M106" s="144"/>
      <c r="N106" s="180"/>
      <c r="O106" s="144">
        <f t="shared" si="8"/>
        <v>30250</v>
      </c>
      <c r="Q106" s="149"/>
      <c r="R106" s="18">
        <v>30250</v>
      </c>
      <c r="S106" s="148">
        <f t="shared" si="7"/>
        <v>30250</v>
      </c>
    </row>
    <row r="107" spans="1:22" ht="14.4" customHeight="1" x14ac:dyDescent="0.3">
      <c r="A107" s="137">
        <v>65</v>
      </c>
      <c r="B107" s="134">
        <v>46294</v>
      </c>
      <c r="C107" s="141" t="s">
        <v>206</v>
      </c>
      <c r="D107" s="183">
        <v>167410</v>
      </c>
      <c r="E107" s="183"/>
      <c r="F107" s="144">
        <f t="shared" si="6"/>
        <v>167410</v>
      </c>
      <c r="G107" s="175">
        <v>167410</v>
      </c>
      <c r="H107" s="144"/>
      <c r="I107" s="180"/>
      <c r="J107" s="183"/>
      <c r="K107" s="144"/>
      <c r="L107" s="187"/>
      <c r="M107" s="144"/>
      <c r="N107" s="180"/>
      <c r="O107" s="144">
        <f t="shared" si="8"/>
        <v>167410</v>
      </c>
      <c r="Q107" s="149"/>
      <c r="R107" s="18">
        <v>167410</v>
      </c>
      <c r="S107" s="148">
        <f t="shared" si="7"/>
        <v>167410</v>
      </c>
    </row>
    <row r="108" spans="1:22" ht="14.4" customHeight="1" x14ac:dyDescent="0.3">
      <c r="A108" s="137">
        <v>66</v>
      </c>
      <c r="B108" s="134">
        <v>46294</v>
      </c>
      <c r="C108" s="141" t="s">
        <v>219</v>
      </c>
      <c r="D108" s="161"/>
      <c r="E108" s="170">
        <v>30000</v>
      </c>
      <c r="F108" s="144">
        <f t="shared" si="6"/>
        <v>30000</v>
      </c>
      <c r="G108" s="175"/>
      <c r="H108" s="144"/>
      <c r="I108" s="180"/>
      <c r="J108" s="183"/>
      <c r="K108" s="144"/>
      <c r="L108" s="187">
        <v>30000</v>
      </c>
      <c r="M108" s="144"/>
      <c r="N108" s="180"/>
      <c r="O108" s="144">
        <f t="shared" si="8"/>
        <v>30000</v>
      </c>
      <c r="Q108" s="149"/>
      <c r="R108" s="18">
        <v>30000</v>
      </c>
      <c r="S108" s="148">
        <f t="shared" si="7"/>
        <v>30000</v>
      </c>
    </row>
    <row r="109" spans="1:22" ht="14.4" customHeight="1" x14ac:dyDescent="0.3">
      <c r="A109" s="137">
        <v>67</v>
      </c>
      <c r="B109" s="134">
        <v>46294</v>
      </c>
      <c r="C109" s="141" t="s">
        <v>207</v>
      </c>
      <c r="D109" s="161">
        <v>471129</v>
      </c>
      <c r="E109" s="170"/>
      <c r="F109" s="144">
        <f t="shared" si="6"/>
        <v>471129</v>
      </c>
      <c r="G109" s="175">
        <v>471129</v>
      </c>
      <c r="H109" s="144"/>
      <c r="I109" s="180"/>
      <c r="J109" s="183"/>
      <c r="K109" s="144"/>
      <c r="L109" s="187"/>
      <c r="M109" s="144"/>
      <c r="N109" s="180"/>
      <c r="O109" s="144">
        <f t="shared" si="8"/>
        <v>471129</v>
      </c>
      <c r="Q109" s="149">
        <v>471129</v>
      </c>
      <c r="R109" s="18"/>
      <c r="S109" s="148">
        <f t="shared" si="7"/>
        <v>471129</v>
      </c>
    </row>
    <row r="110" spans="1:22" ht="14.4" customHeight="1" x14ac:dyDescent="0.3">
      <c r="A110" s="137">
        <v>68</v>
      </c>
      <c r="B110" s="134">
        <v>46294</v>
      </c>
      <c r="C110" s="141" t="s">
        <v>208</v>
      </c>
      <c r="D110" s="161">
        <v>170000</v>
      </c>
      <c r="E110" s="170"/>
      <c r="F110" s="144">
        <f t="shared" si="6"/>
        <v>170000</v>
      </c>
      <c r="G110" s="175">
        <v>170000</v>
      </c>
      <c r="H110" s="144"/>
      <c r="I110" s="180"/>
      <c r="J110" s="183"/>
      <c r="K110" s="144"/>
      <c r="L110" s="187"/>
      <c r="M110" s="144"/>
      <c r="N110" s="180"/>
      <c r="O110" s="144">
        <f t="shared" si="8"/>
        <v>170000</v>
      </c>
      <c r="Q110" s="149">
        <v>170000</v>
      </c>
      <c r="R110" s="18"/>
      <c r="S110" s="148">
        <f t="shared" si="7"/>
        <v>170000</v>
      </c>
    </row>
    <row r="111" spans="1:22" ht="14.4" customHeight="1" x14ac:dyDescent="0.3">
      <c r="A111" s="137">
        <v>69</v>
      </c>
      <c r="B111" s="134">
        <v>46294</v>
      </c>
      <c r="C111" s="141" t="s">
        <v>209</v>
      </c>
      <c r="D111" s="161">
        <v>322000</v>
      </c>
      <c r="E111" s="170"/>
      <c r="F111" s="144">
        <f t="shared" si="6"/>
        <v>322000</v>
      </c>
      <c r="G111" s="175">
        <v>322000</v>
      </c>
      <c r="H111" s="144"/>
      <c r="I111" s="180"/>
      <c r="J111" s="183"/>
      <c r="K111" s="144"/>
      <c r="L111" s="187"/>
      <c r="M111" s="144"/>
      <c r="N111" s="180"/>
      <c r="O111" s="144">
        <f t="shared" si="8"/>
        <v>322000</v>
      </c>
      <c r="Q111" s="149">
        <v>322000</v>
      </c>
      <c r="R111" s="18"/>
      <c r="S111" s="148">
        <f t="shared" si="7"/>
        <v>322000</v>
      </c>
    </row>
    <row r="112" spans="1:22" ht="14.4" customHeight="1" x14ac:dyDescent="0.3">
      <c r="A112" s="137">
        <v>70</v>
      </c>
      <c r="B112" s="134">
        <v>46294</v>
      </c>
      <c r="C112" s="141" t="s">
        <v>213</v>
      </c>
      <c r="D112" s="161">
        <v>100000</v>
      </c>
      <c r="E112" s="170"/>
      <c r="F112" s="144">
        <f t="shared" si="6"/>
        <v>100000</v>
      </c>
      <c r="G112" s="175">
        <v>100000</v>
      </c>
      <c r="H112" s="144"/>
      <c r="I112" s="180"/>
      <c r="J112" s="183"/>
      <c r="K112" s="144"/>
      <c r="L112" s="187">
        <v>0</v>
      </c>
      <c r="M112" s="144"/>
      <c r="N112" s="180"/>
      <c r="O112" s="144">
        <f t="shared" si="8"/>
        <v>100000</v>
      </c>
      <c r="Q112" s="149">
        <v>100000</v>
      </c>
      <c r="R112" s="18"/>
      <c r="S112" s="148">
        <f t="shared" si="7"/>
        <v>100000</v>
      </c>
    </row>
    <row r="113" spans="1:19" ht="14.4" customHeight="1" x14ac:dyDescent="0.3">
      <c r="A113" s="137">
        <v>71</v>
      </c>
      <c r="B113" s="134">
        <v>46289</v>
      </c>
      <c r="C113" s="142" t="s">
        <v>204</v>
      </c>
      <c r="D113" s="161"/>
      <c r="E113" s="118">
        <v>2500</v>
      </c>
      <c r="F113" s="144">
        <f t="shared" ref="F113:F123" si="28">SUM(D113:E113)</f>
        <v>2500</v>
      </c>
      <c r="G113" s="175"/>
      <c r="H113" s="118"/>
      <c r="I113" s="181"/>
      <c r="J113" s="175"/>
      <c r="K113" s="144"/>
      <c r="L113" s="89">
        <v>2500</v>
      </c>
      <c r="M113" s="118"/>
      <c r="N113" s="181"/>
      <c r="O113" s="144">
        <f t="shared" ref="O113:O123" si="29">SUM(G113:N113)</f>
        <v>2500</v>
      </c>
      <c r="Q113" s="149"/>
      <c r="R113" s="18">
        <v>2500</v>
      </c>
      <c r="S113" s="148">
        <f t="shared" si="7"/>
        <v>2500</v>
      </c>
    </row>
    <row r="114" spans="1:19" ht="14.4" customHeight="1" x14ac:dyDescent="0.3">
      <c r="A114" s="137">
        <v>72</v>
      </c>
      <c r="B114" s="134">
        <v>46292</v>
      </c>
      <c r="C114" s="142" t="s">
        <v>210</v>
      </c>
      <c r="D114" s="161"/>
      <c r="E114" s="118">
        <v>5000</v>
      </c>
      <c r="F114" s="144">
        <f t="shared" si="28"/>
        <v>5000</v>
      </c>
      <c r="G114" s="175"/>
      <c r="H114" s="118"/>
      <c r="I114" s="181"/>
      <c r="J114" s="175"/>
      <c r="K114" s="144"/>
      <c r="L114" s="89">
        <v>5000</v>
      </c>
      <c r="M114" s="118"/>
      <c r="N114" s="181"/>
      <c r="O114" s="144">
        <f t="shared" si="29"/>
        <v>5000</v>
      </c>
      <c r="Q114" s="149"/>
      <c r="R114" s="18">
        <v>5000</v>
      </c>
      <c r="S114" s="148">
        <f t="shared" si="7"/>
        <v>5000</v>
      </c>
    </row>
    <row r="115" spans="1:19" ht="14.4" customHeight="1" x14ac:dyDescent="0.3">
      <c r="A115" s="137">
        <v>73</v>
      </c>
      <c r="B115" s="134">
        <v>46292</v>
      </c>
      <c r="C115" s="142" t="s">
        <v>211</v>
      </c>
      <c r="D115" s="161"/>
      <c r="E115" s="118">
        <v>5000</v>
      </c>
      <c r="F115" s="144">
        <f t="shared" si="28"/>
        <v>5000</v>
      </c>
      <c r="G115" s="175"/>
      <c r="H115" s="118"/>
      <c r="I115" s="181"/>
      <c r="J115" s="175"/>
      <c r="K115" s="144"/>
      <c r="L115" s="89">
        <v>5000</v>
      </c>
      <c r="M115" s="118"/>
      <c r="N115" s="181"/>
      <c r="O115" s="144">
        <f t="shared" si="29"/>
        <v>5000</v>
      </c>
      <c r="Q115" s="149"/>
      <c r="R115" s="18">
        <v>5000</v>
      </c>
      <c r="S115" s="148">
        <f t="shared" si="7"/>
        <v>5000</v>
      </c>
    </row>
    <row r="116" spans="1:19" ht="14.4" customHeight="1" x14ac:dyDescent="0.3">
      <c r="A116" s="137">
        <v>74</v>
      </c>
      <c r="B116" s="134">
        <v>46292</v>
      </c>
      <c r="C116" s="142" t="s">
        <v>212</v>
      </c>
      <c r="D116" s="161"/>
      <c r="E116" s="170">
        <v>5000</v>
      </c>
      <c r="F116" s="144">
        <f t="shared" si="28"/>
        <v>5000</v>
      </c>
      <c r="G116" s="175"/>
      <c r="H116" s="144"/>
      <c r="I116" s="180"/>
      <c r="J116" s="183"/>
      <c r="K116" s="144"/>
      <c r="L116" s="187">
        <v>5000</v>
      </c>
      <c r="M116" s="144"/>
      <c r="N116" s="180"/>
      <c r="O116" s="144">
        <f t="shared" si="29"/>
        <v>5000</v>
      </c>
      <c r="Q116" s="149"/>
      <c r="R116" s="18">
        <v>5000</v>
      </c>
      <c r="S116" s="148">
        <f t="shared" si="7"/>
        <v>5000</v>
      </c>
    </row>
    <row r="117" spans="1:19" ht="14.4" customHeight="1" x14ac:dyDescent="0.3">
      <c r="A117" s="137">
        <v>75</v>
      </c>
      <c r="B117" s="134">
        <v>46295</v>
      </c>
      <c r="C117" s="141" t="s">
        <v>214</v>
      </c>
      <c r="D117" s="161"/>
      <c r="E117" s="170">
        <v>55000</v>
      </c>
      <c r="F117" s="144">
        <f t="shared" si="28"/>
        <v>55000</v>
      </c>
      <c r="G117" s="175"/>
      <c r="H117" s="144"/>
      <c r="I117" s="180"/>
      <c r="J117" s="183"/>
      <c r="K117" s="222">
        <v>55000</v>
      </c>
      <c r="L117" s="187"/>
      <c r="M117" s="144"/>
      <c r="N117" s="180"/>
      <c r="O117" s="144">
        <f t="shared" si="29"/>
        <v>55000</v>
      </c>
      <c r="Q117" s="149"/>
      <c r="R117" s="18">
        <v>55000</v>
      </c>
      <c r="S117" s="148">
        <f t="shared" si="7"/>
        <v>55000</v>
      </c>
    </row>
    <row r="118" spans="1:19" ht="14.4" customHeight="1" x14ac:dyDescent="0.3">
      <c r="A118" s="137">
        <v>76</v>
      </c>
      <c r="B118" s="134">
        <v>46295</v>
      </c>
      <c r="C118" s="141" t="s">
        <v>215</v>
      </c>
      <c r="D118" s="161"/>
      <c r="E118" s="170">
        <v>75000</v>
      </c>
      <c r="F118" s="144">
        <f t="shared" si="28"/>
        <v>75000</v>
      </c>
      <c r="G118" s="175"/>
      <c r="H118" s="144"/>
      <c r="I118" s="180"/>
      <c r="J118" s="183"/>
      <c r="K118" s="222">
        <v>75000</v>
      </c>
      <c r="L118" s="187"/>
      <c r="M118" s="144"/>
      <c r="N118" s="180"/>
      <c r="O118" s="144">
        <f t="shared" si="29"/>
        <v>75000</v>
      </c>
      <c r="Q118" s="149"/>
      <c r="R118" s="18">
        <v>75000</v>
      </c>
      <c r="S118" s="148">
        <f t="shared" si="7"/>
        <v>75000</v>
      </c>
    </row>
    <row r="119" spans="1:19" ht="14.4" customHeight="1" x14ac:dyDescent="0.3">
      <c r="A119" s="137">
        <v>78</v>
      </c>
      <c r="B119" s="134">
        <v>46294</v>
      </c>
      <c r="C119" s="142" t="s">
        <v>216</v>
      </c>
      <c r="D119" s="161"/>
      <c r="E119" s="118">
        <v>2500</v>
      </c>
      <c r="F119" s="144">
        <f t="shared" si="28"/>
        <v>2500</v>
      </c>
      <c r="G119" s="175"/>
      <c r="H119" s="144"/>
      <c r="I119" s="180"/>
      <c r="J119" s="183"/>
      <c r="K119" s="144"/>
      <c r="L119" s="89">
        <v>2500</v>
      </c>
      <c r="M119" s="144"/>
      <c r="N119" s="180"/>
      <c r="O119" s="144">
        <f t="shared" si="29"/>
        <v>2500</v>
      </c>
      <c r="Q119" s="149"/>
      <c r="R119" s="18">
        <v>2500</v>
      </c>
      <c r="S119" s="148">
        <f t="shared" si="7"/>
        <v>2500</v>
      </c>
    </row>
    <row r="120" spans="1:19" ht="14.4" customHeight="1" x14ac:dyDescent="0.3">
      <c r="A120" s="137">
        <v>79</v>
      </c>
      <c r="B120" s="134">
        <v>46294</v>
      </c>
      <c r="C120" s="141" t="s">
        <v>217</v>
      </c>
      <c r="D120" s="161"/>
      <c r="E120" s="170">
        <v>5000</v>
      </c>
      <c r="F120" s="144">
        <f t="shared" si="28"/>
        <v>5000</v>
      </c>
      <c r="G120" s="175"/>
      <c r="H120" s="144"/>
      <c r="I120" s="180"/>
      <c r="J120" s="183"/>
      <c r="K120" s="144"/>
      <c r="L120" s="187">
        <v>5000</v>
      </c>
      <c r="M120" s="144"/>
      <c r="N120" s="180"/>
      <c r="O120" s="144">
        <f t="shared" si="29"/>
        <v>5000</v>
      </c>
      <c r="Q120" s="149"/>
      <c r="R120" s="18">
        <v>5000</v>
      </c>
      <c r="S120" s="148">
        <f t="shared" si="7"/>
        <v>5000</v>
      </c>
    </row>
    <row r="121" spans="1:19" ht="14.4" customHeight="1" x14ac:dyDescent="0.3">
      <c r="A121" s="137">
        <v>80</v>
      </c>
      <c r="B121" s="134">
        <v>46294</v>
      </c>
      <c r="C121" s="141" t="s">
        <v>218</v>
      </c>
      <c r="D121" s="161"/>
      <c r="E121" s="170">
        <v>3000</v>
      </c>
      <c r="F121" s="144">
        <f t="shared" si="28"/>
        <v>3000</v>
      </c>
      <c r="G121" s="175"/>
      <c r="H121" s="144"/>
      <c r="I121" s="180"/>
      <c r="J121" s="183"/>
      <c r="K121" s="144"/>
      <c r="L121" s="187">
        <v>3000</v>
      </c>
      <c r="M121" s="144"/>
      <c r="N121" s="180"/>
      <c r="O121" s="144">
        <f t="shared" si="29"/>
        <v>3000</v>
      </c>
      <c r="Q121" s="149"/>
      <c r="R121" s="18">
        <v>3000</v>
      </c>
      <c r="S121" s="148">
        <f t="shared" si="7"/>
        <v>3000</v>
      </c>
    </row>
    <row r="122" spans="1:19" ht="14.4" customHeight="1" x14ac:dyDescent="0.3">
      <c r="A122" s="137">
        <v>81</v>
      </c>
      <c r="B122" s="134">
        <v>46295</v>
      </c>
      <c r="C122" s="141" t="s">
        <v>236</v>
      </c>
      <c r="D122" s="161">
        <v>2000</v>
      </c>
      <c r="E122" s="170"/>
      <c r="F122" s="144">
        <f t="shared" si="28"/>
        <v>2000</v>
      </c>
      <c r="G122" s="175"/>
      <c r="H122" s="144"/>
      <c r="I122" s="180"/>
      <c r="J122" s="183"/>
      <c r="K122" s="144"/>
      <c r="L122" s="187">
        <v>2000</v>
      </c>
      <c r="M122" s="144"/>
      <c r="N122" s="180"/>
      <c r="O122" s="144">
        <f t="shared" si="29"/>
        <v>2000</v>
      </c>
      <c r="Q122" s="149"/>
      <c r="R122" s="18"/>
      <c r="S122" s="148">
        <f t="shared" si="7"/>
        <v>0</v>
      </c>
    </row>
    <row r="123" spans="1:19" x14ac:dyDescent="0.3">
      <c r="A123" s="137">
        <v>82</v>
      </c>
      <c r="B123" s="134">
        <v>46295</v>
      </c>
      <c r="C123" s="141" t="s">
        <v>237</v>
      </c>
      <c r="D123" s="161">
        <v>5000</v>
      </c>
      <c r="E123" s="118"/>
      <c r="F123" s="144">
        <f t="shared" si="28"/>
        <v>5000</v>
      </c>
      <c r="G123" s="175"/>
      <c r="H123" s="118"/>
      <c r="I123" s="181"/>
      <c r="J123" s="175"/>
      <c r="K123" s="144"/>
      <c r="L123" s="89">
        <v>5000</v>
      </c>
      <c r="M123" s="118"/>
      <c r="N123" s="181"/>
      <c r="O123" s="144">
        <f t="shared" si="29"/>
        <v>5000</v>
      </c>
      <c r="Q123" s="149"/>
      <c r="R123" s="18">
        <v>5000</v>
      </c>
      <c r="S123" s="148">
        <f t="shared" si="7"/>
        <v>5000</v>
      </c>
    </row>
    <row r="124" spans="1:19" ht="14.4" customHeight="1" x14ac:dyDescent="0.3">
      <c r="A124" s="137">
        <v>83</v>
      </c>
      <c r="B124" s="134"/>
      <c r="C124" s="142"/>
      <c r="D124" s="161"/>
      <c r="E124" s="118">
        <v>0</v>
      </c>
      <c r="F124" s="144">
        <f t="shared" si="6"/>
        <v>0</v>
      </c>
      <c r="G124" s="175"/>
      <c r="H124" s="118"/>
      <c r="I124" s="181"/>
      <c r="J124" s="175"/>
      <c r="K124" s="144"/>
      <c r="L124" s="89"/>
      <c r="M124" s="118"/>
      <c r="N124" s="181"/>
      <c r="O124" s="144">
        <f t="shared" si="8"/>
        <v>0</v>
      </c>
      <c r="Q124" s="243">
        <f>SUM(Q42:Q123)</f>
        <v>1118129</v>
      </c>
      <c r="R124" s="241">
        <f>SUM(R42:R123)</f>
        <v>13413028</v>
      </c>
      <c r="S124" s="239">
        <f>SUM(S41:S123)</f>
        <v>14531157</v>
      </c>
    </row>
    <row r="125" spans="1:19" ht="14.4" customHeight="1" x14ac:dyDescent="0.3">
      <c r="A125" s="137">
        <v>84</v>
      </c>
      <c r="B125" s="134"/>
      <c r="C125" s="142"/>
      <c r="D125" s="161"/>
      <c r="E125" s="118"/>
      <c r="F125" s="144">
        <f t="shared" si="6"/>
        <v>0</v>
      </c>
      <c r="G125" s="175"/>
      <c r="H125" s="118"/>
      <c r="I125" s="181"/>
      <c r="J125" s="175"/>
      <c r="K125" s="144"/>
      <c r="L125" s="89"/>
      <c r="M125" s="118"/>
      <c r="N125" s="181"/>
      <c r="O125" s="144">
        <f t="shared" si="8"/>
        <v>0</v>
      </c>
      <c r="Q125" s="244"/>
      <c r="R125" s="242"/>
      <c r="S125" s="240"/>
    </row>
    <row r="126" spans="1:19" ht="14.4" customHeight="1" thickBot="1" x14ac:dyDescent="0.5">
      <c r="A126" s="137">
        <v>85</v>
      </c>
      <c r="B126" s="135"/>
      <c r="C126" s="143"/>
      <c r="D126" s="162"/>
      <c r="E126" s="171"/>
      <c r="F126" s="146">
        <f t="shared" si="6"/>
        <v>0</v>
      </c>
      <c r="G126" s="176"/>
      <c r="H126" s="171"/>
      <c r="I126" s="182"/>
      <c r="J126" s="176"/>
      <c r="K126" s="184"/>
      <c r="L126" s="188"/>
      <c r="M126" s="171"/>
      <c r="N126" s="182"/>
      <c r="O126" s="184">
        <f t="shared" si="8"/>
        <v>0</v>
      </c>
      <c r="Q126" s="194" t="s">
        <v>70</v>
      </c>
      <c r="R126" s="38"/>
      <c r="S126" s="195">
        <f>'SUMMARY PAY EXPENSE SHEET'!AD15</f>
        <v>14586963</v>
      </c>
    </row>
    <row r="127" spans="1:19" ht="14.4" customHeight="1" thickBot="1" x14ac:dyDescent="0.5">
      <c r="A127" s="248" t="s">
        <v>24</v>
      </c>
      <c r="B127" s="249"/>
      <c r="C127" s="250"/>
      <c r="D127" s="190">
        <f t="shared" ref="D127:O127" si="30">SUM(D43:D126)</f>
        <v>1369539</v>
      </c>
      <c r="E127" s="190">
        <f t="shared" si="30"/>
        <v>15097778</v>
      </c>
      <c r="F127" s="190">
        <f t="shared" si="30"/>
        <v>16467317</v>
      </c>
      <c r="G127" s="190">
        <f t="shared" si="30"/>
        <v>1315539</v>
      </c>
      <c r="H127" s="190">
        <f t="shared" si="30"/>
        <v>0</v>
      </c>
      <c r="I127" s="190">
        <f t="shared" si="30"/>
        <v>0</v>
      </c>
      <c r="J127" s="190">
        <f t="shared" si="30"/>
        <v>1696658</v>
      </c>
      <c r="K127" s="190">
        <f t="shared" si="30"/>
        <v>9582650</v>
      </c>
      <c r="L127" s="190">
        <f t="shared" si="30"/>
        <v>1932470</v>
      </c>
      <c r="M127" s="190">
        <f t="shared" si="30"/>
        <v>10000</v>
      </c>
      <c r="N127" s="190">
        <f t="shared" si="30"/>
        <v>1934000</v>
      </c>
      <c r="O127" s="39">
        <f t="shared" si="30"/>
        <v>16471317</v>
      </c>
      <c r="Q127" s="237" t="s">
        <v>60</v>
      </c>
      <c r="R127" s="238"/>
      <c r="S127" s="196">
        <f>S124-S126</f>
        <v>-55806</v>
      </c>
    </row>
    <row r="128" spans="1:19" ht="14.4" customHeight="1" thickBot="1" x14ac:dyDescent="0.35">
      <c r="A128" s="245" t="s">
        <v>72</v>
      </c>
      <c r="B128" s="246"/>
      <c r="C128" s="246"/>
      <c r="D128" s="246"/>
      <c r="E128" s="246"/>
      <c r="F128" s="247"/>
      <c r="G128" s="96">
        <f t="shared" ref="G128:N128" si="31">G38-G127</f>
        <v>938461</v>
      </c>
      <c r="H128" s="96">
        <f t="shared" si="31"/>
        <v>0</v>
      </c>
      <c r="I128" s="97">
        <f t="shared" si="31"/>
        <v>0</v>
      </c>
      <c r="J128" s="191">
        <f t="shared" si="31"/>
        <v>383875</v>
      </c>
      <c r="K128" s="107">
        <f t="shared" si="31"/>
        <v>3767809</v>
      </c>
      <c r="L128" s="96">
        <f t="shared" si="31"/>
        <v>-344337</v>
      </c>
      <c r="M128" s="96">
        <f t="shared" si="31"/>
        <v>205555</v>
      </c>
      <c r="N128" s="97">
        <f t="shared" si="31"/>
        <v>581252</v>
      </c>
      <c r="O128" s="93">
        <f>+O36-O127</f>
        <v>-14217317</v>
      </c>
    </row>
    <row r="129" spans="2:21" x14ac:dyDescent="0.3">
      <c r="U129" s="23">
        <f>S127+S130</f>
        <v>-45466</v>
      </c>
    </row>
    <row r="130" spans="2:21" x14ac:dyDescent="0.3">
      <c r="G130" s="17"/>
      <c r="Q130" s="64"/>
      <c r="S130" s="23">
        <v>10340</v>
      </c>
    </row>
    <row r="131" spans="2:21" x14ac:dyDescent="0.3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</row>
    <row r="134" spans="2:21" x14ac:dyDescent="0.3">
      <c r="B134" s="221">
        <v>46296</v>
      </c>
      <c r="C134" s="23" t="s">
        <v>96</v>
      </c>
      <c r="D134" s="23" t="s">
        <v>224</v>
      </c>
    </row>
    <row r="135" spans="2:21" x14ac:dyDescent="0.3">
      <c r="B135" s="221">
        <v>46296</v>
      </c>
      <c r="C135" s="23" t="s">
        <v>220</v>
      </c>
      <c r="D135" s="23" t="s">
        <v>221</v>
      </c>
      <c r="K135" s="23">
        <v>30968</v>
      </c>
    </row>
    <row r="136" spans="2:21" x14ac:dyDescent="0.3">
      <c r="B136" s="221">
        <v>46296</v>
      </c>
      <c r="C136" s="23" t="s">
        <v>222</v>
      </c>
      <c r="D136" s="23" t="s">
        <v>223</v>
      </c>
    </row>
    <row r="137" spans="2:21" x14ac:dyDescent="0.3">
      <c r="B137" s="221">
        <v>46297</v>
      </c>
      <c r="C137" s="23" t="s">
        <v>167</v>
      </c>
      <c r="D137" s="23" t="s">
        <v>225</v>
      </c>
    </row>
    <row r="138" spans="2:21" x14ac:dyDescent="0.3">
      <c r="B138" s="221">
        <v>46297</v>
      </c>
      <c r="C138" s="23" t="s">
        <v>180</v>
      </c>
      <c r="D138" s="23">
        <v>11000</v>
      </c>
      <c r="E138" s="23" t="s">
        <v>235</v>
      </c>
      <c r="L138" s="23" t="s">
        <v>226</v>
      </c>
      <c r="M138" s="23" t="s">
        <v>227</v>
      </c>
      <c r="N138" s="23" t="s">
        <v>228</v>
      </c>
      <c r="P138" s="23" t="s">
        <v>229</v>
      </c>
      <c r="R138" s="23">
        <v>5000</v>
      </c>
    </row>
    <row r="139" spans="2:21" x14ac:dyDescent="0.3">
      <c r="M139" s="23" t="s">
        <v>230</v>
      </c>
      <c r="N139" s="23" t="s">
        <v>232</v>
      </c>
      <c r="P139" s="23" t="s">
        <v>231</v>
      </c>
      <c r="R139" s="23">
        <v>4000</v>
      </c>
    </row>
    <row r="140" spans="2:21" x14ac:dyDescent="0.3">
      <c r="M140" s="23" t="s">
        <v>233</v>
      </c>
      <c r="N140" s="23" t="s">
        <v>234</v>
      </c>
      <c r="P140" s="23" t="s">
        <v>229</v>
      </c>
      <c r="R140" s="23">
        <v>2000</v>
      </c>
    </row>
  </sheetData>
  <mergeCells count="35">
    <mergeCell ref="J2:N2"/>
    <mergeCell ref="Q39:S39"/>
    <mergeCell ref="Q41:R41"/>
    <mergeCell ref="O37:O38"/>
    <mergeCell ref="F41:F42"/>
    <mergeCell ref="O41:O42"/>
    <mergeCell ref="J41:N41"/>
    <mergeCell ref="G41:I41"/>
    <mergeCell ref="D41:D42"/>
    <mergeCell ref="E41:E42"/>
    <mergeCell ref="A41:A42"/>
    <mergeCell ref="B41:B42"/>
    <mergeCell ref="C41:C42"/>
    <mergeCell ref="A1:O1"/>
    <mergeCell ref="A40:O40"/>
    <mergeCell ref="D2:D3"/>
    <mergeCell ref="E2:E3"/>
    <mergeCell ref="F2:F3"/>
    <mergeCell ref="A2:A3"/>
    <mergeCell ref="B2:B3"/>
    <mergeCell ref="C2:C3"/>
    <mergeCell ref="A36:C36"/>
    <mergeCell ref="O2:O3"/>
    <mergeCell ref="A37:C37"/>
    <mergeCell ref="A4:B4"/>
    <mergeCell ref="A38:C38"/>
    <mergeCell ref="A39:O39"/>
    <mergeCell ref="D37:F38"/>
    <mergeCell ref="G2:I2"/>
    <mergeCell ref="Q127:R127"/>
    <mergeCell ref="S124:S125"/>
    <mergeCell ref="R124:R125"/>
    <mergeCell ref="Q124:Q125"/>
    <mergeCell ref="A128:F128"/>
    <mergeCell ref="A127:C127"/>
  </mergeCells>
  <phoneticPr fontId="6" type="noConversion"/>
  <pageMargins left="0.7" right="0.7" top="0.75" bottom="0.75" header="0.3" footer="0.3"/>
  <pageSetup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7E66-1E1C-47A9-93A7-C3BB2E114C10}">
  <dimension ref="A1:AF21"/>
  <sheetViews>
    <sheetView zoomScale="71" zoomScaleNormal="115" workbookViewId="0">
      <selection activeCell="P18" sqref="P18"/>
    </sheetView>
  </sheetViews>
  <sheetFormatPr defaultRowHeight="14.4" x14ac:dyDescent="0.3"/>
  <cols>
    <col min="2" max="2" width="43.6640625" bestFit="1" customWidth="1"/>
    <col min="3" max="3" width="13.5546875" bestFit="1" customWidth="1"/>
    <col min="4" max="4" width="10.88671875" bestFit="1" customWidth="1"/>
    <col min="5" max="5" width="12" bestFit="1" customWidth="1"/>
    <col min="6" max="6" width="11.5546875" bestFit="1" customWidth="1"/>
    <col min="7" max="7" width="11.5546875" customWidth="1"/>
    <col min="8" max="8" width="11.5546875" bestFit="1" customWidth="1"/>
    <col min="9" max="9" width="13.33203125" bestFit="1" customWidth="1"/>
    <col min="10" max="10" width="16.21875" customWidth="1"/>
    <col min="11" max="11" width="12" bestFit="1" customWidth="1"/>
    <col min="12" max="12" width="18.77734375" bestFit="1" customWidth="1"/>
    <col min="13" max="15" width="10.5546875" bestFit="1" customWidth="1"/>
    <col min="16" max="18" width="10.88671875" bestFit="1" customWidth="1"/>
    <col min="19" max="19" width="20.77734375" bestFit="1" customWidth="1"/>
    <col min="20" max="20" width="13" bestFit="1" customWidth="1"/>
    <col min="21" max="21" width="12" bestFit="1" customWidth="1"/>
    <col min="22" max="22" width="15" bestFit="1" customWidth="1"/>
    <col min="23" max="23" width="10.5546875" bestFit="1" customWidth="1"/>
    <col min="24" max="25" width="10.44140625" customWidth="1"/>
    <col min="26" max="26" width="10.88671875" bestFit="1" customWidth="1"/>
    <col min="27" max="28" width="10.88671875" customWidth="1"/>
    <col min="29" max="29" width="10.88671875" bestFit="1" customWidth="1"/>
    <col min="30" max="30" width="13.5546875" bestFit="1" customWidth="1"/>
  </cols>
  <sheetData>
    <row r="1" spans="1:31" s="11" customFormat="1" ht="21" x14ac:dyDescent="0.4">
      <c r="A1" s="291" t="s">
        <v>238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</row>
    <row r="2" spans="1:31" s="11" customFormat="1" x14ac:dyDescent="0.3">
      <c r="A2" s="85" t="s">
        <v>12</v>
      </c>
      <c r="B2" s="85" t="s">
        <v>9</v>
      </c>
      <c r="C2" s="85" t="s">
        <v>2</v>
      </c>
      <c r="D2" s="85" t="s">
        <v>125</v>
      </c>
      <c r="E2" s="85" t="s">
        <v>1</v>
      </c>
      <c r="F2" s="85" t="s">
        <v>20</v>
      </c>
      <c r="G2" s="85" t="s">
        <v>84</v>
      </c>
      <c r="H2" s="85" t="s">
        <v>21</v>
      </c>
      <c r="I2" s="85" t="s">
        <v>22</v>
      </c>
      <c r="J2" s="85" t="s">
        <v>126</v>
      </c>
      <c r="K2" s="85" t="s">
        <v>108</v>
      </c>
      <c r="L2" s="85" t="s">
        <v>25</v>
      </c>
      <c r="M2" s="85" t="s">
        <v>3</v>
      </c>
      <c r="N2" s="85" t="s">
        <v>4</v>
      </c>
      <c r="O2" s="85" t="s">
        <v>5</v>
      </c>
      <c r="P2" s="85" t="s">
        <v>242</v>
      </c>
      <c r="Q2" s="85" t="s">
        <v>241</v>
      </c>
      <c r="R2" s="85" t="s">
        <v>120</v>
      </c>
      <c r="S2" s="85" t="s">
        <v>8</v>
      </c>
      <c r="T2" s="85" t="s">
        <v>6</v>
      </c>
      <c r="U2" s="85" t="s">
        <v>128</v>
      </c>
      <c r="V2" s="85" t="s">
        <v>71</v>
      </c>
      <c r="W2" s="85" t="s">
        <v>27</v>
      </c>
      <c r="X2" s="85" t="s">
        <v>97</v>
      </c>
      <c r="Y2" s="85" t="s">
        <v>98</v>
      </c>
      <c r="Z2" s="85" t="s">
        <v>119</v>
      </c>
      <c r="AA2" s="85" t="s">
        <v>129</v>
      </c>
      <c r="AB2" s="85" t="s">
        <v>130</v>
      </c>
      <c r="AC2" s="85" t="s">
        <v>23</v>
      </c>
      <c r="AD2" s="85" t="s">
        <v>24</v>
      </c>
    </row>
    <row r="3" spans="1:31" x14ac:dyDescent="0.3">
      <c r="A3" s="12">
        <v>1</v>
      </c>
      <c r="B3" s="8" t="s">
        <v>16</v>
      </c>
      <c r="C3" s="5">
        <f>'EXPENSE SHEET'!H50</f>
        <v>3680263</v>
      </c>
      <c r="D3" s="5">
        <f>'EXPENSE SHEET'!I50</f>
        <v>0</v>
      </c>
      <c r="E3" s="5">
        <f>'EXPENSE SHEET'!J50</f>
        <v>39337</v>
      </c>
      <c r="F3" s="5">
        <f>'EXPENSE SHEET'!K50</f>
        <v>543129</v>
      </c>
      <c r="G3" s="5">
        <f>'EXPENSE SHEET'!L50</f>
        <v>100000</v>
      </c>
      <c r="H3" s="5">
        <f>'EXPENSE SHEET'!M50</f>
        <v>196000</v>
      </c>
      <c r="I3" s="5">
        <f>'EXPENSE SHEET'!N50</f>
        <v>322000</v>
      </c>
      <c r="J3" s="5">
        <f>'EXPENSE SHEET'!O50</f>
        <v>0</v>
      </c>
      <c r="K3" s="5">
        <f>'EXPENSE SHEET'!P50</f>
        <v>530548</v>
      </c>
      <c r="L3" s="5">
        <f>'EXPENSE SHEET'!Q50</f>
        <v>467258</v>
      </c>
      <c r="M3" s="5">
        <f>'EXPENSE SHEET'!R50</f>
        <v>49000</v>
      </c>
      <c r="N3" s="5">
        <f>'EXPENSE SHEET'!S50</f>
        <v>50000</v>
      </c>
      <c r="O3" s="5">
        <f>'EXPENSE SHEET'!T50</f>
        <v>24000</v>
      </c>
      <c r="P3" s="5">
        <f>'EXPENSE SHEET'!U50</f>
        <v>4294962</v>
      </c>
      <c r="Q3" s="5">
        <f>'EXPENSE SHEET'!V50</f>
        <v>0</v>
      </c>
      <c r="R3" s="5">
        <f>'EXPENSE SHEET'!W50</f>
        <v>0</v>
      </c>
      <c r="S3" s="5">
        <f>'EXPENSE SHEET'!X50</f>
        <v>0</v>
      </c>
      <c r="T3" s="5">
        <f>'EXPENSE SHEET'!Y50</f>
        <v>0</v>
      </c>
      <c r="U3" s="5">
        <f>'EXPENSE SHEET'!Z50</f>
        <v>334000</v>
      </c>
      <c r="V3" s="5">
        <f>'EXPENSE SHEET'!AA50</f>
        <v>64000</v>
      </c>
      <c r="W3" s="5">
        <f>'EXPENSE SHEET'!AB50</f>
        <v>25000</v>
      </c>
      <c r="X3" s="5">
        <f>'EXPENSE SHEET'!AC50</f>
        <v>28000</v>
      </c>
      <c r="Y3" s="5">
        <f>'EXPENSE SHEET'!AD50</f>
        <v>91419</v>
      </c>
      <c r="Z3" s="5">
        <f>'EXPENSE SHEET'!AE50</f>
        <v>258000</v>
      </c>
      <c r="AA3" s="5">
        <f>'EXPENSE SHEET'!AF50</f>
        <v>0</v>
      </c>
      <c r="AB3" s="5">
        <f>'EXPENSE SHEET'!AG50</f>
        <v>80000</v>
      </c>
      <c r="AC3" s="5">
        <f>'EXPENSE SHEET'!AH50</f>
        <v>1503747</v>
      </c>
      <c r="AD3" s="5">
        <f>SUM(C3:AC3)</f>
        <v>12680663</v>
      </c>
      <c r="AE3" s="23"/>
    </row>
    <row r="4" spans="1:31" x14ac:dyDescent="0.3">
      <c r="A4" s="12">
        <v>2</v>
      </c>
      <c r="B4" s="8" t="s">
        <v>47</v>
      </c>
      <c r="C4" s="5">
        <f>'EXPENSE SHEET'!H77</f>
        <v>5000</v>
      </c>
      <c r="D4" s="5">
        <f>'EXPENSE SHEET'!I77</f>
        <v>0</v>
      </c>
      <c r="E4" s="5">
        <f>'EXPENSE SHEET'!J77</f>
        <v>0</v>
      </c>
      <c r="F4" s="5">
        <f>'EXPENSE SHEET'!K77</f>
        <v>0</v>
      </c>
      <c r="G4" s="5">
        <f>'EXPENSE SHEET'!L77</f>
        <v>0</v>
      </c>
      <c r="H4" s="5">
        <f>'EXPENSE SHEET'!M77</f>
        <v>0</v>
      </c>
      <c r="I4" s="5">
        <f>'EXPENSE SHEET'!N77</f>
        <v>10000</v>
      </c>
      <c r="J4" s="5">
        <f>'EXPENSE SHEET'!O77</f>
        <v>0</v>
      </c>
      <c r="K4" s="5">
        <f>'EXPENSE SHEET'!P77</f>
        <v>10000</v>
      </c>
      <c r="L4" s="5">
        <f>'EXPENSE SHEET'!Q77</f>
        <v>5000</v>
      </c>
      <c r="M4" s="5">
        <f>'EXPENSE SHEET'!R77</f>
        <v>0</v>
      </c>
      <c r="N4" s="5">
        <f>'EXPENSE SHEET'!S77</f>
        <v>0</v>
      </c>
      <c r="O4" s="5">
        <f>'EXPENSE SHEET'!T77</f>
        <v>0</v>
      </c>
      <c r="P4" s="5">
        <f>'EXPENSE SHEET'!U77</f>
        <v>0</v>
      </c>
      <c r="Q4" s="5">
        <f>'EXPENSE SHEET'!V77</f>
        <v>0</v>
      </c>
      <c r="R4" s="5">
        <f>'EXPENSE SHEET'!W77</f>
        <v>0</v>
      </c>
      <c r="S4" s="5">
        <f>'EXPENSE SHEET'!X77</f>
        <v>0</v>
      </c>
      <c r="T4" s="5">
        <f>'EXPENSE SHEET'!Y77</f>
        <v>0</v>
      </c>
      <c r="U4" s="5">
        <f>'EXPENSE SHEET'!Z77</f>
        <v>0</v>
      </c>
      <c r="V4" s="5">
        <f>'EXPENSE SHEET'!AA77</f>
        <v>0</v>
      </c>
      <c r="W4" s="5">
        <f>'EXPENSE SHEET'!AB77</f>
        <v>0</v>
      </c>
      <c r="X4" s="5">
        <f>'EXPENSE SHEET'!AC77</f>
        <v>0</v>
      </c>
      <c r="Y4" s="5">
        <f>'EXPENSE SHEET'!AD77</f>
        <v>0</v>
      </c>
      <c r="Z4" s="5">
        <f>'EXPENSE SHEET'!AE77</f>
        <v>0</v>
      </c>
      <c r="AA4" s="5">
        <f>'EXPENSE SHEET'!AF77</f>
        <v>0</v>
      </c>
      <c r="AB4" s="5">
        <f>'EXPENSE SHEET'!AG77</f>
        <v>0</v>
      </c>
      <c r="AC4" s="5">
        <f>'EXPENSE SHEET'!AH77</f>
        <v>0</v>
      </c>
      <c r="AD4" s="5">
        <f t="shared" ref="AD4:AD14" si="0">SUM(C4:AC4)</f>
        <v>30000</v>
      </c>
      <c r="AE4" s="23"/>
    </row>
    <row r="5" spans="1:31" x14ac:dyDescent="0.3">
      <c r="A5" s="12">
        <v>3</v>
      </c>
      <c r="B5" s="8" t="s">
        <v>28</v>
      </c>
      <c r="C5" s="5">
        <f>'EXPENSE SHEET'!H79</f>
        <v>0</v>
      </c>
      <c r="D5" s="5">
        <f>'EXPENSE SHEET'!I79</f>
        <v>0</v>
      </c>
      <c r="E5" s="5">
        <f>'EXPENSE SHEET'!J79</f>
        <v>0</v>
      </c>
      <c r="F5" s="5">
        <f>'EXPENSE SHEET'!K79</f>
        <v>0</v>
      </c>
      <c r="G5" s="5">
        <f>'EXPENSE SHEET'!L79</f>
        <v>0</v>
      </c>
      <c r="H5" s="5">
        <f>'EXPENSE SHEET'!M79</f>
        <v>0</v>
      </c>
      <c r="I5" s="5">
        <f>'EXPENSE SHEET'!N79</f>
        <v>0</v>
      </c>
      <c r="J5" s="5">
        <f>'EXPENSE SHEET'!O79</f>
        <v>0</v>
      </c>
      <c r="K5" s="5">
        <f>'EXPENSE SHEET'!P79</f>
        <v>0</v>
      </c>
      <c r="L5" s="5">
        <f>'EXPENSE SHEET'!Q79</f>
        <v>0</v>
      </c>
      <c r="M5" s="5">
        <f>'EXPENSE SHEET'!R79</f>
        <v>0</v>
      </c>
      <c r="N5" s="5">
        <f>'EXPENSE SHEET'!S79</f>
        <v>0</v>
      </c>
      <c r="O5" s="5">
        <f>'EXPENSE SHEET'!T79</f>
        <v>0</v>
      </c>
      <c r="P5" s="5">
        <f>'EXPENSE SHEET'!U79</f>
        <v>0</v>
      </c>
      <c r="Q5" s="5">
        <f>'EXPENSE SHEET'!V79</f>
        <v>0</v>
      </c>
      <c r="R5" s="5">
        <f>'EXPENSE SHEET'!W79</f>
        <v>0</v>
      </c>
      <c r="S5" s="5">
        <f>'EXPENSE SHEET'!X79</f>
        <v>0</v>
      </c>
      <c r="T5" s="5">
        <f>'EXPENSE SHEET'!Y79</f>
        <v>0</v>
      </c>
      <c r="U5" s="5">
        <f>'EXPENSE SHEET'!Z79</f>
        <v>0</v>
      </c>
      <c r="V5" s="5">
        <f>'EXPENSE SHEET'!AA79</f>
        <v>0</v>
      </c>
      <c r="W5" s="5">
        <f>'EXPENSE SHEET'!AB52</f>
        <v>0</v>
      </c>
      <c r="X5" s="5">
        <f>'EXPENSE SHEET'!AC52</f>
        <v>0</v>
      </c>
      <c r="Y5" s="5">
        <f>'EXPENSE SHEET'!AD52</f>
        <v>0</v>
      </c>
      <c r="Z5" s="5">
        <f>'EXPENSE SHEET'!AE52</f>
        <v>0</v>
      </c>
      <c r="AA5" s="5">
        <f>'EXPENSE SHEET'!AF79</f>
        <v>0</v>
      </c>
      <c r="AB5" s="5">
        <f>'EXPENSE SHEET'!AG79</f>
        <v>0</v>
      </c>
      <c r="AC5" s="5">
        <f>'EXPENSE SHEET'!AH79</f>
        <v>0</v>
      </c>
      <c r="AD5" s="5">
        <f t="shared" si="0"/>
        <v>0</v>
      </c>
      <c r="AE5" s="23"/>
    </row>
    <row r="6" spans="1:31" x14ac:dyDescent="0.3">
      <c r="A6" s="12">
        <v>4</v>
      </c>
      <c r="B6" s="8" t="s">
        <v>31</v>
      </c>
      <c r="C6" s="5">
        <f>'EXPENSE SHEET'!H140</f>
        <v>220</v>
      </c>
      <c r="D6" s="5">
        <f>'EXPENSE SHEET'!I140</f>
        <v>0</v>
      </c>
      <c r="E6" s="5">
        <f>'EXPENSE SHEET'!J140</f>
        <v>0</v>
      </c>
      <c r="F6" s="5">
        <f>'EXPENSE SHEET'!K140</f>
        <v>0</v>
      </c>
      <c r="G6" s="5">
        <f>'EXPENSE SHEET'!L140</f>
        <v>0</v>
      </c>
      <c r="H6" s="5">
        <f>'EXPENSE SHEET'!M140</f>
        <v>0</v>
      </c>
      <c r="I6" s="5">
        <f>'EXPENSE SHEET'!N140</f>
        <v>0</v>
      </c>
      <c r="J6" s="5">
        <f>'EXPENSE SHEET'!O140</f>
        <v>0</v>
      </c>
      <c r="K6" s="5">
        <f>'EXPENSE SHEET'!P140</f>
        <v>188</v>
      </c>
      <c r="L6" s="5">
        <f>'EXPENSE SHEET'!Q140</f>
        <v>0</v>
      </c>
      <c r="M6" s="5">
        <f>'EXPENSE SHEET'!R140</f>
        <v>0</v>
      </c>
      <c r="N6" s="5">
        <f>'EXPENSE SHEET'!S140</f>
        <v>0</v>
      </c>
      <c r="O6" s="5">
        <f>'EXPENSE SHEET'!T140</f>
        <v>0</v>
      </c>
      <c r="P6" s="5">
        <f>'EXPENSE SHEET'!U140</f>
        <v>800</v>
      </c>
      <c r="Q6" s="5">
        <f>'EXPENSE SHEET'!V140</f>
        <v>0</v>
      </c>
      <c r="R6" s="5">
        <f>'EXPENSE SHEET'!W140</f>
        <v>0</v>
      </c>
      <c r="S6" s="5">
        <f>'EXPENSE SHEET'!X140</f>
        <v>0</v>
      </c>
      <c r="T6" s="5">
        <f>'EXPENSE SHEET'!Y140</f>
        <v>0</v>
      </c>
      <c r="U6" s="5">
        <f>'EXPENSE SHEET'!Z140</f>
        <v>400</v>
      </c>
      <c r="V6" s="5">
        <f>'EXPENSE SHEET'!AA140</f>
        <v>0</v>
      </c>
      <c r="W6" s="5">
        <f>'EXPENSE SHEET'!AB140</f>
        <v>0</v>
      </c>
      <c r="X6" s="5">
        <f>'EXPENSE SHEET'!AC140</f>
        <v>400</v>
      </c>
      <c r="Y6" s="5">
        <f>'EXPENSE SHEET'!AD140</f>
        <v>0</v>
      </c>
      <c r="Z6" s="5">
        <f>'EXPENSE SHEET'!AE140</f>
        <v>850</v>
      </c>
      <c r="AA6" s="5">
        <f>'EXPENSE SHEET'!AF140</f>
        <v>520</v>
      </c>
      <c r="AB6" s="5">
        <f>'EXPENSE SHEET'!AG140</f>
        <v>0</v>
      </c>
      <c r="AC6" s="5">
        <f>'EXPENSE SHEET'!AH140</f>
        <v>90773</v>
      </c>
      <c r="AD6" s="5">
        <f t="shared" si="0"/>
        <v>94151</v>
      </c>
      <c r="AE6" s="23"/>
    </row>
    <row r="7" spans="1:31" x14ac:dyDescent="0.3">
      <c r="A7" s="12">
        <v>5</v>
      </c>
      <c r="B7" s="8" t="s">
        <v>33</v>
      </c>
      <c r="C7" s="5">
        <f>'EXPENSE SHEET'!H156</f>
        <v>0</v>
      </c>
      <c r="D7" s="5">
        <f>'EXPENSE SHEET'!I156</f>
        <v>0</v>
      </c>
      <c r="E7" s="5">
        <f>'EXPENSE SHEET'!J156</f>
        <v>0</v>
      </c>
      <c r="F7" s="5">
        <f>'EXPENSE SHEET'!K156</f>
        <v>0</v>
      </c>
      <c r="G7" s="5">
        <f>'EXPENSE SHEET'!L156</f>
        <v>0</v>
      </c>
      <c r="H7" s="5">
        <f>'EXPENSE SHEET'!M156</f>
        <v>0</v>
      </c>
      <c r="I7" s="5">
        <f>'EXPENSE SHEET'!N156</f>
        <v>0</v>
      </c>
      <c r="J7" s="5">
        <f>'EXPENSE SHEET'!O156</f>
        <v>0</v>
      </c>
      <c r="K7" s="5">
        <f>'EXPENSE SHEET'!P156</f>
        <v>400</v>
      </c>
      <c r="L7" s="5">
        <f>'EXPENSE SHEET'!Q156</f>
        <v>0</v>
      </c>
      <c r="M7" s="5">
        <f>'EXPENSE SHEET'!R156</f>
        <v>0</v>
      </c>
      <c r="N7" s="5">
        <f>'EXPENSE SHEET'!S156</f>
        <v>0</v>
      </c>
      <c r="O7" s="5">
        <f>'EXPENSE SHEET'!T156</f>
        <v>0</v>
      </c>
      <c r="P7" s="5">
        <f>'EXPENSE SHEET'!U156</f>
        <v>0</v>
      </c>
      <c r="Q7" s="5">
        <f>'EXPENSE SHEET'!V156</f>
        <v>0</v>
      </c>
      <c r="R7" s="5">
        <f>'EXPENSE SHEET'!W156</f>
        <v>0</v>
      </c>
      <c r="S7" s="5">
        <f>'EXPENSE SHEET'!X156</f>
        <v>0</v>
      </c>
      <c r="T7" s="5">
        <f>'EXPENSE SHEET'!Y156</f>
        <v>0</v>
      </c>
      <c r="U7" s="5">
        <f>'EXPENSE SHEET'!Z156</f>
        <v>0</v>
      </c>
      <c r="V7" s="5">
        <f>'EXPENSE SHEET'!AA156</f>
        <v>0</v>
      </c>
      <c r="W7" s="5">
        <f>'EXPENSE SHEET'!AB156</f>
        <v>0</v>
      </c>
      <c r="X7" s="5">
        <f>'EXPENSE SHEET'!AC156</f>
        <v>1100</v>
      </c>
      <c r="Y7" s="5">
        <f>'EXPENSE SHEET'!AD156</f>
        <v>0</v>
      </c>
      <c r="Z7" s="5">
        <f>'EXPENSE SHEET'!AE156</f>
        <v>0</v>
      </c>
      <c r="AA7" s="5">
        <f>'EXPENSE SHEET'!AF156</f>
        <v>0</v>
      </c>
      <c r="AB7" s="5">
        <f>'EXPENSE SHEET'!AG156</f>
        <v>0</v>
      </c>
      <c r="AC7" s="5">
        <f>'EXPENSE SHEET'!AH156</f>
        <v>9330</v>
      </c>
      <c r="AD7" s="5">
        <f t="shared" si="0"/>
        <v>10830</v>
      </c>
      <c r="AE7" s="23"/>
    </row>
    <row r="8" spans="1:31" x14ac:dyDescent="0.3">
      <c r="A8" s="12">
        <v>6</v>
      </c>
      <c r="B8" s="8" t="s">
        <v>35</v>
      </c>
      <c r="C8" s="5">
        <f>'EXPENSE SHEET'!H160</f>
        <v>0</v>
      </c>
      <c r="D8" s="5">
        <f>'EXPENSE SHEET'!I160</f>
        <v>0</v>
      </c>
      <c r="E8" s="5">
        <f>'EXPENSE SHEET'!J160</f>
        <v>0</v>
      </c>
      <c r="F8" s="5">
        <f>'EXPENSE SHEET'!K160</f>
        <v>0</v>
      </c>
      <c r="G8" s="5">
        <f>'EXPENSE SHEET'!L160</f>
        <v>0</v>
      </c>
      <c r="H8" s="5">
        <f>'EXPENSE SHEET'!M160</f>
        <v>0</v>
      </c>
      <c r="I8" s="5">
        <f>'EXPENSE SHEET'!N160</f>
        <v>0</v>
      </c>
      <c r="J8" s="5">
        <f>'EXPENSE SHEET'!O160</f>
        <v>0</v>
      </c>
      <c r="K8" s="5">
        <f>'EXPENSE SHEET'!P160</f>
        <v>0</v>
      </c>
      <c r="L8" s="5">
        <f>'EXPENSE SHEET'!Q160</f>
        <v>0</v>
      </c>
      <c r="M8" s="5">
        <f>'EXPENSE SHEET'!R160</f>
        <v>0</v>
      </c>
      <c r="N8" s="5">
        <f>'EXPENSE SHEET'!S160</f>
        <v>0</v>
      </c>
      <c r="O8" s="5">
        <f>'EXPENSE SHEET'!T160</f>
        <v>0</v>
      </c>
      <c r="P8" s="5">
        <f>'EXPENSE SHEET'!U160</f>
        <v>0</v>
      </c>
      <c r="Q8" s="5">
        <f>'EXPENSE SHEET'!V160</f>
        <v>0</v>
      </c>
      <c r="R8" s="5">
        <f>'EXPENSE SHEET'!W160</f>
        <v>0</v>
      </c>
      <c r="S8" s="5">
        <f>'EXPENSE SHEET'!X160</f>
        <v>0</v>
      </c>
      <c r="T8" s="5">
        <f>'EXPENSE SHEET'!Y160</f>
        <v>0</v>
      </c>
      <c r="U8" s="5">
        <f>'EXPENSE SHEET'!Z160</f>
        <v>0</v>
      </c>
      <c r="V8" s="5">
        <f>'EXPENSE SHEET'!AA160</f>
        <v>0</v>
      </c>
      <c r="W8" s="5">
        <f>'EXPENSE SHEET'!AB160</f>
        <v>0</v>
      </c>
      <c r="X8" s="5">
        <f>'EXPENSE SHEET'!AC160</f>
        <v>0</v>
      </c>
      <c r="Y8" s="5">
        <f>'EXPENSE SHEET'!AD160</f>
        <v>0</v>
      </c>
      <c r="Z8" s="5">
        <f>'EXPENSE SHEET'!AE160</f>
        <v>0</v>
      </c>
      <c r="AA8" s="5">
        <f>'EXPENSE SHEET'!AF160</f>
        <v>0</v>
      </c>
      <c r="AB8" s="5">
        <f>'EXPENSE SHEET'!AG160</f>
        <v>0</v>
      </c>
      <c r="AC8" s="5">
        <f>'EXPENSE SHEET'!AH160</f>
        <v>7680</v>
      </c>
      <c r="AD8" s="5">
        <f t="shared" si="0"/>
        <v>7680</v>
      </c>
      <c r="AE8" s="23"/>
    </row>
    <row r="9" spans="1:31" x14ac:dyDescent="0.3">
      <c r="A9" s="12">
        <v>7</v>
      </c>
      <c r="B9" s="8" t="s">
        <v>40</v>
      </c>
      <c r="C9" s="5">
        <f>'EXPENSE SHEET'!H164</f>
        <v>0</v>
      </c>
      <c r="D9" s="5">
        <f>'EXPENSE SHEET'!I164</f>
        <v>0</v>
      </c>
      <c r="E9" s="5">
        <f>'EXPENSE SHEET'!J164</f>
        <v>0</v>
      </c>
      <c r="F9" s="5">
        <f>'EXPENSE SHEET'!K164</f>
        <v>0</v>
      </c>
      <c r="G9" s="5">
        <f>'EXPENSE SHEET'!L164</f>
        <v>0</v>
      </c>
      <c r="H9" s="5">
        <f>'EXPENSE SHEET'!M164</f>
        <v>0</v>
      </c>
      <c r="I9" s="5">
        <f>'EXPENSE SHEET'!N164</f>
        <v>0</v>
      </c>
      <c r="J9" s="5">
        <f>'EXPENSE SHEET'!O164</f>
        <v>0</v>
      </c>
      <c r="K9" s="5">
        <f>'EXPENSE SHEET'!P164</f>
        <v>0</v>
      </c>
      <c r="L9" s="5">
        <f>'EXPENSE SHEET'!Q164</f>
        <v>0</v>
      </c>
      <c r="M9" s="5">
        <f>'EXPENSE SHEET'!R164</f>
        <v>0</v>
      </c>
      <c r="N9" s="5">
        <f>'EXPENSE SHEET'!S164</f>
        <v>0</v>
      </c>
      <c r="O9" s="5">
        <f>'EXPENSE SHEET'!T164</f>
        <v>0</v>
      </c>
      <c r="P9" s="5">
        <f>'EXPENSE SHEET'!U164</f>
        <v>0</v>
      </c>
      <c r="Q9" s="5">
        <f>'EXPENSE SHEET'!V164</f>
        <v>0</v>
      </c>
      <c r="R9" s="5">
        <f>'EXPENSE SHEET'!W164</f>
        <v>0</v>
      </c>
      <c r="S9" s="5">
        <f>'EXPENSE SHEET'!X164</f>
        <v>0</v>
      </c>
      <c r="T9" s="5">
        <f>'EXPENSE SHEET'!Y164</f>
        <v>0</v>
      </c>
      <c r="U9" s="5">
        <f>'EXPENSE SHEET'!Z164</f>
        <v>0</v>
      </c>
      <c r="V9" s="5">
        <f>'EXPENSE SHEET'!AA164</f>
        <v>0</v>
      </c>
      <c r="W9" s="5">
        <f>'EXPENSE SHEET'!AB164</f>
        <v>0</v>
      </c>
      <c r="X9" s="5">
        <f>'EXPENSE SHEET'!AC164</f>
        <v>0</v>
      </c>
      <c r="Y9" s="5">
        <f>'EXPENSE SHEET'!AD164</f>
        <v>0</v>
      </c>
      <c r="Z9" s="5">
        <f>'EXPENSE SHEET'!AE164</f>
        <v>0</v>
      </c>
      <c r="AA9" s="5">
        <f>'EXPENSE SHEET'!AF164</f>
        <v>0</v>
      </c>
      <c r="AB9" s="5">
        <f>'EXPENSE SHEET'!AG164</f>
        <v>0</v>
      </c>
      <c r="AC9" s="5">
        <f>'EXPENSE SHEET'!AH164</f>
        <v>0</v>
      </c>
      <c r="AD9" s="5">
        <f t="shared" si="0"/>
        <v>0</v>
      </c>
      <c r="AE9" s="23"/>
    </row>
    <row r="10" spans="1:31" x14ac:dyDescent="0.3">
      <c r="A10" s="12">
        <v>8</v>
      </c>
      <c r="B10" s="8" t="s">
        <v>43</v>
      </c>
      <c r="C10" s="5">
        <f>'EXPENSE SHEET'!H176</f>
        <v>0</v>
      </c>
      <c r="D10" s="5">
        <f>'EXPENSE SHEET'!I176</f>
        <v>0</v>
      </c>
      <c r="E10" s="5">
        <f>'EXPENSE SHEET'!J176</f>
        <v>0</v>
      </c>
      <c r="F10" s="5">
        <f>'EXPENSE SHEET'!K176</f>
        <v>0</v>
      </c>
      <c r="G10" s="5">
        <f>'EXPENSE SHEET'!L176</f>
        <v>0</v>
      </c>
      <c r="H10" s="5">
        <f>'EXPENSE SHEET'!M176</f>
        <v>0</v>
      </c>
      <c r="I10" s="5">
        <f>'EXPENSE SHEET'!N176</f>
        <v>0</v>
      </c>
      <c r="J10" s="5">
        <f>'EXPENSE SHEET'!O176</f>
        <v>0</v>
      </c>
      <c r="K10" s="5">
        <f>'EXPENSE SHEET'!P176</f>
        <v>0</v>
      </c>
      <c r="L10" s="5">
        <f>'EXPENSE SHEET'!Q176</f>
        <v>0</v>
      </c>
      <c r="M10" s="5">
        <f>'EXPENSE SHEET'!R176</f>
        <v>0</v>
      </c>
      <c r="N10" s="5">
        <f>'EXPENSE SHEET'!S176</f>
        <v>0</v>
      </c>
      <c r="O10" s="5">
        <f>'EXPENSE SHEET'!T176</f>
        <v>0</v>
      </c>
      <c r="P10" s="5">
        <f>'EXPENSE SHEET'!U176</f>
        <v>0</v>
      </c>
      <c r="Q10" s="5">
        <f>'EXPENSE SHEET'!V176</f>
        <v>0</v>
      </c>
      <c r="R10" s="5">
        <f>'EXPENSE SHEET'!W176</f>
        <v>0</v>
      </c>
      <c r="S10" s="5">
        <f>'EXPENSE SHEET'!X176</f>
        <v>0</v>
      </c>
      <c r="T10" s="5">
        <f>'EXPENSE SHEET'!Y176</f>
        <v>0</v>
      </c>
      <c r="U10" s="5">
        <f>'EXPENSE SHEET'!Z176</f>
        <v>0</v>
      </c>
      <c r="V10" s="5">
        <f>'EXPENSE SHEET'!AA176</f>
        <v>0</v>
      </c>
      <c r="W10" s="5">
        <f>'EXPENSE SHEET'!AB176</f>
        <v>0</v>
      </c>
      <c r="X10" s="5">
        <f>'EXPENSE SHEET'!AC176</f>
        <v>0</v>
      </c>
      <c r="Y10" s="5">
        <f>'EXPENSE SHEET'!AD176</f>
        <v>0</v>
      </c>
      <c r="Z10" s="5">
        <f>'EXPENSE SHEET'!AE176</f>
        <v>0</v>
      </c>
      <c r="AA10" s="5">
        <f>'EXPENSE SHEET'!AF176</f>
        <v>0</v>
      </c>
      <c r="AB10" s="5">
        <f>'EXPENSE SHEET'!AG176</f>
        <v>0</v>
      </c>
      <c r="AC10" s="5">
        <f>'EXPENSE SHEET'!AH176</f>
        <v>657745</v>
      </c>
      <c r="AD10" s="5">
        <f t="shared" si="0"/>
        <v>657745</v>
      </c>
      <c r="AE10" s="23"/>
    </row>
    <row r="11" spans="1:31" x14ac:dyDescent="0.3">
      <c r="A11" s="12">
        <v>9</v>
      </c>
      <c r="B11" s="8" t="s">
        <v>37</v>
      </c>
      <c r="C11" s="5">
        <f>'EXPENSE SHEET'!H184</f>
        <v>0</v>
      </c>
      <c r="D11" s="5">
        <f>'EXPENSE SHEET'!I184</f>
        <v>0</v>
      </c>
      <c r="E11" s="5">
        <f>'EXPENSE SHEET'!J184</f>
        <v>0</v>
      </c>
      <c r="F11" s="5">
        <f>'EXPENSE SHEET'!K184</f>
        <v>0</v>
      </c>
      <c r="G11" s="5">
        <f>'EXPENSE SHEET'!L184</f>
        <v>0</v>
      </c>
      <c r="H11" s="5">
        <f>'EXPENSE SHEET'!M184</f>
        <v>0</v>
      </c>
      <c r="I11" s="5">
        <f>'EXPENSE SHEET'!N184</f>
        <v>0</v>
      </c>
      <c r="J11" s="5">
        <f>'EXPENSE SHEET'!O184</f>
        <v>0</v>
      </c>
      <c r="K11" s="5">
        <f>'EXPENSE SHEET'!P184</f>
        <v>0</v>
      </c>
      <c r="L11" s="5">
        <f>'EXPENSE SHEET'!Q184</f>
        <v>0</v>
      </c>
      <c r="M11" s="5">
        <f>'EXPENSE SHEET'!R184</f>
        <v>0</v>
      </c>
      <c r="N11" s="5">
        <f>'EXPENSE SHEET'!S184</f>
        <v>0</v>
      </c>
      <c r="O11" s="5">
        <f>'EXPENSE SHEET'!T184</f>
        <v>0</v>
      </c>
      <c r="P11" s="5">
        <f>'EXPENSE SHEET'!U184</f>
        <v>0</v>
      </c>
      <c r="Q11" s="5">
        <f>'EXPENSE SHEET'!V184</f>
        <v>0</v>
      </c>
      <c r="R11" s="5">
        <f>'EXPENSE SHEET'!W184</f>
        <v>0</v>
      </c>
      <c r="S11" s="5">
        <f>'EXPENSE SHEET'!X184</f>
        <v>0</v>
      </c>
      <c r="T11" s="5">
        <f>'EXPENSE SHEET'!Y184</f>
        <v>0</v>
      </c>
      <c r="U11" s="5">
        <f>'EXPENSE SHEET'!Z184</f>
        <v>0</v>
      </c>
      <c r="V11" s="5">
        <f>'EXPENSE SHEET'!AA184</f>
        <v>0</v>
      </c>
      <c r="W11" s="5">
        <f>'EXPENSE SHEET'!AB184</f>
        <v>0</v>
      </c>
      <c r="X11" s="5">
        <f>'EXPENSE SHEET'!AC184</f>
        <v>0</v>
      </c>
      <c r="Y11" s="5">
        <f>'EXPENSE SHEET'!AD184</f>
        <v>0</v>
      </c>
      <c r="Z11" s="5">
        <f>'EXPENSE SHEET'!AE184</f>
        <v>0</v>
      </c>
      <c r="AA11" s="5">
        <f>'EXPENSE SHEET'!AF184</f>
        <v>0</v>
      </c>
      <c r="AB11" s="5">
        <f>'EXPENSE SHEET'!AG184</f>
        <v>0</v>
      </c>
      <c r="AC11" s="5">
        <f>'EXPENSE SHEET'!AH184</f>
        <v>292750</v>
      </c>
      <c r="AD11" s="5">
        <f t="shared" si="0"/>
        <v>292750</v>
      </c>
      <c r="AE11" s="23"/>
    </row>
    <row r="12" spans="1:31" x14ac:dyDescent="0.3">
      <c r="A12" s="12">
        <v>10</v>
      </c>
      <c r="B12" s="8" t="s">
        <v>38</v>
      </c>
      <c r="C12" s="5">
        <f>'EXPENSE SHEET'!H191</f>
        <v>0</v>
      </c>
      <c r="D12" s="5">
        <f>'EXPENSE SHEET'!I191</f>
        <v>0</v>
      </c>
      <c r="E12" s="5">
        <f>'EXPENSE SHEET'!J191</f>
        <v>0</v>
      </c>
      <c r="F12" s="5">
        <f>'EXPENSE SHEET'!K191</f>
        <v>0</v>
      </c>
      <c r="G12" s="5">
        <f>'EXPENSE SHEET'!L191</f>
        <v>0</v>
      </c>
      <c r="H12" s="5">
        <f>'EXPENSE SHEET'!M191</f>
        <v>0</v>
      </c>
      <c r="I12" s="5">
        <f>'EXPENSE SHEET'!N191</f>
        <v>0</v>
      </c>
      <c r="J12" s="5">
        <f>'EXPENSE SHEET'!O191</f>
        <v>0</v>
      </c>
      <c r="K12" s="5">
        <f>'EXPENSE SHEET'!P191</f>
        <v>0</v>
      </c>
      <c r="L12" s="5">
        <f>'EXPENSE SHEET'!Q191</f>
        <v>0</v>
      </c>
      <c r="M12" s="5">
        <f>'EXPENSE SHEET'!R191</f>
        <v>0</v>
      </c>
      <c r="N12" s="5">
        <f>'EXPENSE SHEET'!S191</f>
        <v>0</v>
      </c>
      <c r="O12" s="5">
        <f>'EXPENSE SHEET'!T191</f>
        <v>0</v>
      </c>
      <c r="P12" s="5">
        <f>'EXPENSE SHEET'!U191</f>
        <v>281563</v>
      </c>
      <c r="Q12" s="5">
        <f>'EXPENSE SHEET'!V191</f>
        <v>0</v>
      </c>
      <c r="R12" s="5">
        <f>'EXPENSE SHEET'!W191</f>
        <v>0</v>
      </c>
      <c r="S12" s="5">
        <f>'EXPENSE SHEET'!X191</f>
        <v>0</v>
      </c>
      <c r="T12" s="5">
        <f>'EXPENSE SHEET'!Y191</f>
        <v>0</v>
      </c>
      <c r="U12" s="5">
        <f>'EXPENSE SHEET'!Z191</f>
        <v>0</v>
      </c>
      <c r="V12" s="5">
        <f>'EXPENSE SHEET'!AA191</f>
        <v>0</v>
      </c>
      <c r="W12" s="5">
        <f>'EXPENSE SHEET'!AB191</f>
        <v>0</v>
      </c>
      <c r="X12" s="5">
        <f>'EXPENSE SHEET'!AC191</f>
        <v>0</v>
      </c>
      <c r="Y12" s="5">
        <f>'EXPENSE SHEET'!AD191</f>
        <v>0</v>
      </c>
      <c r="Z12" s="5">
        <f>'EXPENSE SHEET'!AE191</f>
        <v>0</v>
      </c>
      <c r="AA12" s="5">
        <f>'EXPENSE SHEET'!AF191</f>
        <v>0</v>
      </c>
      <c r="AB12" s="5">
        <f>'EXPENSE SHEET'!AG191</f>
        <v>0</v>
      </c>
      <c r="AC12" s="5">
        <f>'EXPENSE SHEET'!AH191</f>
        <v>237269</v>
      </c>
      <c r="AD12" s="5">
        <f t="shared" si="0"/>
        <v>518832</v>
      </c>
      <c r="AE12" s="23"/>
    </row>
    <row r="13" spans="1:31" x14ac:dyDescent="0.3">
      <c r="A13" s="12">
        <v>13</v>
      </c>
      <c r="B13" s="8" t="s">
        <v>53</v>
      </c>
      <c r="C13" s="5">
        <f>'EXPENSE SHEET'!H227</f>
        <v>0</v>
      </c>
      <c r="D13" s="5">
        <f>'EXPENSE SHEET'!I227</f>
        <v>0</v>
      </c>
      <c r="E13" s="5">
        <f>'EXPENSE SHEET'!J227</f>
        <v>0</v>
      </c>
      <c r="F13" s="5">
        <f>'EXPENSE SHEET'!K227</f>
        <v>0</v>
      </c>
      <c r="G13" s="5">
        <f>'EXPENSE SHEET'!L227</f>
        <v>0</v>
      </c>
      <c r="H13" s="5">
        <f>'EXPENSE SHEET'!M227</f>
        <v>0</v>
      </c>
      <c r="I13" s="5">
        <f>'EXPENSE SHEET'!N227</f>
        <v>0</v>
      </c>
      <c r="J13" s="5">
        <f>'EXPENSE SHEET'!O227</f>
        <v>0</v>
      </c>
      <c r="K13" s="5">
        <f>'EXPENSE SHEET'!P227</f>
        <v>0</v>
      </c>
      <c r="L13" s="5">
        <f>'EXPENSE SHEET'!Q227</f>
        <v>0</v>
      </c>
      <c r="M13" s="5">
        <f>'EXPENSE SHEET'!R227</f>
        <v>0</v>
      </c>
      <c r="N13" s="5">
        <f>'EXPENSE SHEET'!S227</f>
        <v>0</v>
      </c>
      <c r="O13" s="5">
        <f>'EXPENSE SHEET'!T227</f>
        <v>0</v>
      </c>
      <c r="P13" s="5">
        <f>'EXPENSE SHEET'!U227</f>
        <v>5000</v>
      </c>
      <c r="Q13" s="5">
        <f>'EXPENSE SHEET'!V227</f>
        <v>0</v>
      </c>
      <c r="R13" s="5">
        <f>'EXPENSE SHEET'!W227</f>
        <v>0</v>
      </c>
      <c r="S13" s="5">
        <f>'EXPENSE SHEET'!X227</f>
        <v>0</v>
      </c>
      <c r="T13" s="5">
        <f>'EXPENSE SHEET'!Y227</f>
        <v>0</v>
      </c>
      <c r="U13" s="5">
        <f>'EXPENSE SHEET'!Z227</f>
        <v>0</v>
      </c>
      <c r="V13" s="5">
        <f>'EXPENSE SHEET'!AA227</f>
        <v>0</v>
      </c>
      <c r="W13" s="5">
        <f>'EXPENSE SHEET'!AB227</f>
        <v>0</v>
      </c>
      <c r="X13" s="5">
        <f>'EXPENSE SHEET'!AC227</f>
        <v>0</v>
      </c>
      <c r="Y13" s="5">
        <f>'EXPENSE SHEET'!AD227</f>
        <v>250</v>
      </c>
      <c r="Z13" s="5">
        <f>'EXPENSE SHEET'!AE227</f>
        <v>14200</v>
      </c>
      <c r="AA13" s="5">
        <f>'EXPENSE SHEET'!AF227</f>
        <v>26952</v>
      </c>
      <c r="AB13" s="5">
        <f>'EXPENSE SHEET'!AG227</f>
        <v>0</v>
      </c>
      <c r="AC13" s="5">
        <f>'EXPENSE SHEET'!AH227</f>
        <v>50500</v>
      </c>
      <c r="AD13" s="5">
        <f t="shared" si="0"/>
        <v>96902</v>
      </c>
      <c r="AE13" s="23"/>
    </row>
    <row r="14" spans="1:31" x14ac:dyDescent="0.3">
      <c r="A14" s="12">
        <v>12</v>
      </c>
      <c r="B14" s="8" t="s">
        <v>54</v>
      </c>
      <c r="C14" s="5">
        <f>'EXPENSE SHEET'!H234</f>
        <v>0</v>
      </c>
      <c r="D14" s="5">
        <f>'EXPENSE SHEET'!I234</f>
        <v>0</v>
      </c>
      <c r="E14" s="5">
        <f>'EXPENSE SHEET'!J234</f>
        <v>0</v>
      </c>
      <c r="F14" s="5">
        <f>'EXPENSE SHEET'!K234</f>
        <v>0</v>
      </c>
      <c r="G14" s="5">
        <f>'EXPENSE SHEET'!L234</f>
        <v>0</v>
      </c>
      <c r="H14" s="5">
        <f>'EXPENSE SHEET'!M234</f>
        <v>0</v>
      </c>
      <c r="I14" s="5">
        <f>'EXPENSE SHEET'!N234</f>
        <v>0</v>
      </c>
      <c r="J14" s="5">
        <f>'EXPENSE SHEET'!O234</f>
        <v>0</v>
      </c>
      <c r="K14" s="5">
        <f>'EXPENSE SHEET'!P234</f>
        <v>0</v>
      </c>
      <c r="L14" s="5">
        <f>'EXPENSE SHEET'!Q234</f>
        <v>0</v>
      </c>
      <c r="M14" s="5">
        <f>'EXPENSE SHEET'!R234</f>
        <v>0</v>
      </c>
      <c r="N14" s="5">
        <f>'EXPENSE SHEET'!S234</f>
        <v>0</v>
      </c>
      <c r="O14" s="5">
        <f>'EXPENSE SHEET'!T234</f>
        <v>0</v>
      </c>
      <c r="P14" s="5">
        <f>'EXPENSE SHEET'!U234</f>
        <v>0</v>
      </c>
      <c r="Q14" s="5">
        <f>'EXPENSE SHEET'!V234</f>
        <v>0</v>
      </c>
      <c r="R14" s="5">
        <f>'EXPENSE SHEET'!W234</f>
        <v>0</v>
      </c>
      <c r="S14" s="5">
        <f>'EXPENSE SHEET'!X234</f>
        <v>0</v>
      </c>
      <c r="T14" s="5">
        <f>'EXPENSE SHEET'!Y234</f>
        <v>0</v>
      </c>
      <c r="U14" s="5">
        <f>'EXPENSE SHEET'!Z234</f>
        <v>0</v>
      </c>
      <c r="V14" s="5">
        <f>'EXPENSE SHEET'!AA234</f>
        <v>0</v>
      </c>
      <c r="W14" s="5">
        <f>'EXPENSE SHEET'!AB234</f>
        <v>0</v>
      </c>
      <c r="X14" s="5">
        <f>'EXPENSE SHEET'!AC234</f>
        <v>0</v>
      </c>
      <c r="Y14" s="5">
        <f>'EXPENSE SHEET'!AD234</f>
        <v>0</v>
      </c>
      <c r="Z14" s="5">
        <f>'EXPENSE SHEET'!AE234</f>
        <v>0</v>
      </c>
      <c r="AA14" s="5">
        <f>'EXPENSE SHEET'!AF234</f>
        <v>0</v>
      </c>
      <c r="AB14" s="5">
        <f>'EXPENSE SHEET'!AG234</f>
        <v>0</v>
      </c>
      <c r="AC14" s="5">
        <f>'EXPENSE SHEET'!AH234</f>
        <v>197410</v>
      </c>
      <c r="AD14" s="5">
        <f t="shared" si="0"/>
        <v>197410</v>
      </c>
      <c r="AE14" s="23"/>
    </row>
    <row r="15" spans="1:31" s="11" customFormat="1" x14ac:dyDescent="0.3">
      <c r="A15" s="292" t="s">
        <v>48</v>
      </c>
      <c r="B15" s="292"/>
      <c r="C15" s="22">
        <f>SUM(C3:C14)</f>
        <v>3685483</v>
      </c>
      <c r="D15" s="22">
        <f>SUM(D3:D14)</f>
        <v>0</v>
      </c>
      <c r="E15" s="22">
        <f>SUM(E3:E14)</f>
        <v>39337</v>
      </c>
      <c r="F15" s="22">
        <f t="shared" ref="F15:AC15" si="1">SUM(F3:F14)</f>
        <v>543129</v>
      </c>
      <c r="G15" s="22">
        <f t="shared" si="1"/>
        <v>100000</v>
      </c>
      <c r="H15" s="22">
        <f t="shared" si="1"/>
        <v>196000</v>
      </c>
      <c r="I15" s="22">
        <f t="shared" si="1"/>
        <v>332000</v>
      </c>
      <c r="J15" s="22">
        <f t="shared" si="1"/>
        <v>0</v>
      </c>
      <c r="K15" s="22">
        <f t="shared" si="1"/>
        <v>541136</v>
      </c>
      <c r="L15" s="22">
        <f t="shared" si="1"/>
        <v>472258</v>
      </c>
      <c r="M15" s="22">
        <f t="shared" si="1"/>
        <v>49000</v>
      </c>
      <c r="N15" s="22">
        <f t="shared" si="1"/>
        <v>50000</v>
      </c>
      <c r="O15" s="22">
        <f t="shared" si="1"/>
        <v>24000</v>
      </c>
      <c r="P15" s="22">
        <f t="shared" si="1"/>
        <v>4582325</v>
      </c>
      <c r="Q15" s="22">
        <f>SUM(Q3:Q14)</f>
        <v>0</v>
      </c>
      <c r="R15" s="22">
        <f t="shared" si="1"/>
        <v>0</v>
      </c>
      <c r="S15" s="22">
        <f t="shared" si="1"/>
        <v>0</v>
      </c>
      <c r="T15" s="22">
        <f t="shared" si="1"/>
        <v>0</v>
      </c>
      <c r="U15" s="22">
        <f t="shared" si="1"/>
        <v>334400</v>
      </c>
      <c r="V15" s="22">
        <f t="shared" si="1"/>
        <v>64000</v>
      </c>
      <c r="W15" s="22">
        <f t="shared" si="1"/>
        <v>25000</v>
      </c>
      <c r="X15" s="22">
        <f t="shared" si="1"/>
        <v>29500</v>
      </c>
      <c r="Y15" s="22">
        <f t="shared" si="1"/>
        <v>91669</v>
      </c>
      <c r="Z15" s="22">
        <f t="shared" si="1"/>
        <v>273050</v>
      </c>
      <c r="AA15" s="22">
        <f t="shared" si="1"/>
        <v>27472</v>
      </c>
      <c r="AB15" s="22">
        <f t="shared" ref="AB15" si="2">SUM(AB3:AB14)</f>
        <v>80000</v>
      </c>
      <c r="AC15" s="22">
        <f t="shared" si="1"/>
        <v>3047204</v>
      </c>
      <c r="AD15" s="22">
        <f>SUM(AD3:AD14)</f>
        <v>14586963</v>
      </c>
      <c r="AE15" s="24"/>
    </row>
    <row r="16" spans="1:31" s="11" customFormat="1" ht="15" thickBot="1" x14ac:dyDescent="0.35">
      <c r="A16" s="19"/>
      <c r="B16" s="19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24"/>
    </row>
    <row r="17" spans="1:32" ht="15" thickBot="1" x14ac:dyDescent="0.35">
      <c r="A17" s="293" t="s">
        <v>105</v>
      </c>
      <c r="B17" s="294"/>
      <c r="C17" s="294"/>
      <c r="D17" s="294"/>
      <c r="E17" s="294"/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4"/>
      <c r="AB17" s="294"/>
      <c r="AC17" s="294"/>
      <c r="AD17" s="295"/>
    </row>
    <row r="18" spans="1:32" x14ac:dyDescent="0.3">
      <c r="A18" s="14"/>
      <c r="B18" s="14" t="s">
        <v>104</v>
      </c>
      <c r="C18" s="6">
        <f>'INCOME WITHDRWAL STATE'!O7</f>
        <v>4754162</v>
      </c>
      <c r="D18" s="6">
        <f>'INCOME WITHDRWAL STATE'!F34</f>
        <v>143400</v>
      </c>
      <c r="E18" s="6">
        <f>'INCOME WITHDRWAL STATE'!O5</f>
        <v>264000</v>
      </c>
      <c r="F18" s="6">
        <v>0</v>
      </c>
      <c r="G18" s="6"/>
      <c r="H18" s="6"/>
      <c r="I18" s="6"/>
      <c r="J18" s="6"/>
      <c r="K18" s="6">
        <f>'INCOME WITHDRWAL STATE'!T5</f>
        <v>646000</v>
      </c>
      <c r="L18" s="6">
        <f>'INCOME WITHDRWAL STATE'!O25</f>
        <v>745927</v>
      </c>
      <c r="M18" s="6">
        <f>'INCOME WITHDRWAL STATE'!O20</f>
        <v>65340</v>
      </c>
      <c r="N18" s="6">
        <f>'INCOME WITHDRWAL STATE'!O27</f>
        <v>216000</v>
      </c>
      <c r="O18" s="6">
        <f>'INCOME WITHDRWAL STATE'!O17</f>
        <v>38500</v>
      </c>
      <c r="P18" s="6">
        <f>'INCOME WITHDRWAL STATE'!F15+'INCOME WITHDRWAL STATE'!F30</f>
        <v>4629379</v>
      </c>
      <c r="Q18" s="6">
        <f>'INCOME WITHDRWAL STATE'!O14</f>
        <v>24000</v>
      </c>
      <c r="R18" s="6">
        <f>'INCOME WITHDRWAL STATE'!O6</f>
        <v>36000</v>
      </c>
      <c r="S18" s="6">
        <f>'INCOME WITHDRWAL STATE'!O8</f>
        <v>35500</v>
      </c>
      <c r="T18" s="6">
        <f>'INCOME WITHDRWAL STATE'!F12</f>
        <v>428544</v>
      </c>
      <c r="U18" s="6">
        <f>'INCOME WITHDRWAL STATE'!F23</f>
        <v>510152</v>
      </c>
      <c r="V18" s="6">
        <f>'INCOME WITHDRWAL STATE'!O21</f>
        <v>90000</v>
      </c>
      <c r="W18" s="6">
        <v>0</v>
      </c>
      <c r="X18" s="6">
        <f>'INCOME WITHDRWAL STATE'!O33</f>
        <v>38000</v>
      </c>
      <c r="Y18" s="6">
        <f>'INCOME WITHDRWAL STATE'!O22</f>
        <v>148000</v>
      </c>
      <c r="Z18" s="6">
        <f>'INCOME WITHDRWAL STATE'!F11</f>
        <v>1246511</v>
      </c>
      <c r="AA18" s="6"/>
      <c r="AB18" s="6">
        <f>'INCOME WITHDRWAL STATE'!F19</f>
        <v>90000</v>
      </c>
      <c r="AC18" s="6">
        <v>0</v>
      </c>
      <c r="AD18" s="5">
        <f>SUM(C18:AC18)</f>
        <v>14149415</v>
      </c>
    </row>
    <row r="19" spans="1:32" x14ac:dyDescent="0.3">
      <c r="A19" s="8"/>
      <c r="B19" s="8" t="s">
        <v>107</v>
      </c>
      <c r="C19" s="16">
        <f>C18-C15</f>
        <v>1068679</v>
      </c>
      <c r="D19" s="16">
        <f t="shared" ref="D19:AC19" si="3">D18-D15</f>
        <v>143400</v>
      </c>
      <c r="E19" s="16">
        <f t="shared" si="3"/>
        <v>224663</v>
      </c>
      <c r="F19" s="16">
        <f t="shared" si="3"/>
        <v>-543129</v>
      </c>
      <c r="G19" s="16">
        <f t="shared" si="3"/>
        <v>-100000</v>
      </c>
      <c r="H19" s="16">
        <f t="shared" si="3"/>
        <v>-196000</v>
      </c>
      <c r="I19" s="16">
        <f t="shared" si="3"/>
        <v>-332000</v>
      </c>
      <c r="J19" s="16">
        <f t="shared" si="3"/>
        <v>0</v>
      </c>
      <c r="K19" s="16">
        <f t="shared" si="3"/>
        <v>104864</v>
      </c>
      <c r="L19" s="16">
        <f t="shared" si="3"/>
        <v>273669</v>
      </c>
      <c r="M19" s="16">
        <f t="shared" si="3"/>
        <v>16340</v>
      </c>
      <c r="N19" s="16">
        <f t="shared" si="3"/>
        <v>166000</v>
      </c>
      <c r="O19" s="16">
        <f t="shared" si="3"/>
        <v>14500</v>
      </c>
      <c r="P19" s="16">
        <f t="shared" si="3"/>
        <v>47054</v>
      </c>
      <c r="Q19" s="16">
        <f t="shared" si="3"/>
        <v>24000</v>
      </c>
      <c r="R19" s="16">
        <f t="shared" si="3"/>
        <v>36000</v>
      </c>
      <c r="S19" s="16">
        <f t="shared" si="3"/>
        <v>35500</v>
      </c>
      <c r="T19" s="16">
        <f t="shared" si="3"/>
        <v>428544</v>
      </c>
      <c r="U19" s="16">
        <f t="shared" si="3"/>
        <v>175752</v>
      </c>
      <c r="V19" s="16">
        <f t="shared" si="3"/>
        <v>26000</v>
      </c>
      <c r="W19" s="16">
        <f t="shared" si="3"/>
        <v>-25000</v>
      </c>
      <c r="X19" s="16">
        <f t="shared" si="3"/>
        <v>8500</v>
      </c>
      <c r="Y19" s="16">
        <f t="shared" si="3"/>
        <v>56331</v>
      </c>
      <c r="Z19" s="16">
        <f t="shared" si="3"/>
        <v>973461</v>
      </c>
      <c r="AA19" s="16">
        <f t="shared" si="3"/>
        <v>-27472</v>
      </c>
      <c r="AB19" s="16">
        <f t="shared" si="3"/>
        <v>10000</v>
      </c>
      <c r="AC19" s="16">
        <f t="shared" si="3"/>
        <v>-3047204</v>
      </c>
      <c r="AD19" s="16">
        <f>SUM(C19:AC19)</f>
        <v>-437548</v>
      </c>
    </row>
    <row r="21" spans="1:32" x14ac:dyDescent="0.3">
      <c r="AF21" s="10"/>
    </row>
  </sheetData>
  <mergeCells count="3">
    <mergeCell ref="A1:AD1"/>
    <mergeCell ref="A15:B15"/>
    <mergeCell ref="A17:AD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8525-F922-40D0-BEE3-F06F42256242}">
  <dimension ref="A1:AN238"/>
  <sheetViews>
    <sheetView topLeftCell="U1" zoomScale="71" zoomScaleNormal="55" workbookViewId="0">
      <pane ySplit="2" topLeftCell="A204" activePane="bottomLeft" state="frozen"/>
      <selection activeCell="C1" sqref="C1"/>
      <selection pane="bottomLeft" activeCell="T216" sqref="T216"/>
    </sheetView>
  </sheetViews>
  <sheetFormatPr defaultRowHeight="14.4" x14ac:dyDescent="0.3"/>
  <cols>
    <col min="1" max="1" width="8.44140625" bestFit="1" customWidth="1"/>
    <col min="2" max="2" width="20.88671875" bestFit="1" customWidth="1"/>
    <col min="3" max="3" width="31.88671875" bestFit="1" customWidth="1"/>
    <col min="4" max="4" width="10.88671875" bestFit="1" customWidth="1"/>
    <col min="5" max="5" width="12.109375" bestFit="1" customWidth="1"/>
    <col min="6" max="6" width="61.6640625" customWidth="1"/>
    <col min="7" max="7" width="27" bestFit="1" customWidth="1"/>
    <col min="8" max="8" width="13.33203125" bestFit="1" customWidth="1"/>
    <col min="9" max="9" width="11.109375" bestFit="1" customWidth="1"/>
    <col min="10" max="10" width="10.44140625" customWidth="1"/>
    <col min="11" max="11" width="11.88671875" bestFit="1" customWidth="1"/>
    <col min="12" max="12" width="11.88671875" customWidth="1"/>
    <col min="13" max="13" width="11.5546875" bestFit="1" customWidth="1"/>
    <col min="14" max="14" width="13.33203125" bestFit="1" customWidth="1"/>
    <col min="15" max="15" width="15.109375" bestFit="1" customWidth="1"/>
    <col min="16" max="16" width="11.5546875" bestFit="1" customWidth="1"/>
    <col min="17" max="17" width="13.6640625" bestFit="1" customWidth="1"/>
    <col min="18" max="18" width="10.44140625" bestFit="1" customWidth="1"/>
    <col min="19" max="19" width="10.6640625" bestFit="1" customWidth="1"/>
    <col min="20" max="20" width="10.44140625" bestFit="1" customWidth="1"/>
    <col min="21" max="21" width="17.5546875" customWidth="1"/>
    <col min="22" max="22" width="10.44140625" bestFit="1" customWidth="1"/>
    <col min="23" max="23" width="9.88671875" customWidth="1"/>
    <col min="24" max="24" width="19.21875" bestFit="1" customWidth="1"/>
    <col min="25" max="25" width="13.44140625" customWidth="1"/>
    <col min="26" max="26" width="14.21875" customWidth="1"/>
    <col min="27" max="27" width="14.88671875" bestFit="1" customWidth="1"/>
    <col min="28" max="30" width="10.44140625" customWidth="1"/>
    <col min="31" max="33" width="12.5546875" customWidth="1"/>
    <col min="34" max="34" width="13.33203125" bestFit="1" customWidth="1"/>
    <col min="35" max="35" width="11.6640625" bestFit="1" customWidth="1"/>
    <col min="36" max="36" width="32" bestFit="1" customWidth="1"/>
    <col min="38" max="38" width="13.33203125" bestFit="1" customWidth="1"/>
    <col min="39" max="39" width="12.88671875" bestFit="1" customWidth="1"/>
    <col min="40" max="40" width="29.33203125" bestFit="1" customWidth="1"/>
  </cols>
  <sheetData>
    <row r="1" spans="1:40" ht="23.4" x14ac:dyDescent="0.45">
      <c r="A1" s="298" t="s">
        <v>238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</row>
    <row r="2" spans="1:40" x14ac:dyDescent="0.3">
      <c r="A2" s="224" t="s">
        <v>12</v>
      </c>
      <c r="B2" s="224" t="s">
        <v>9</v>
      </c>
      <c r="C2" s="224" t="s">
        <v>10</v>
      </c>
      <c r="D2" s="224" t="s">
        <v>11</v>
      </c>
      <c r="E2" s="225" t="s">
        <v>13</v>
      </c>
      <c r="F2" s="224" t="s">
        <v>14</v>
      </c>
      <c r="G2" s="224" t="s">
        <v>15</v>
      </c>
      <c r="H2" s="224" t="s">
        <v>2</v>
      </c>
      <c r="I2" s="224" t="s">
        <v>125</v>
      </c>
      <c r="J2" s="224" t="s">
        <v>1</v>
      </c>
      <c r="K2" s="224" t="s">
        <v>20</v>
      </c>
      <c r="L2" s="224" t="s">
        <v>84</v>
      </c>
      <c r="M2" s="224" t="s">
        <v>21</v>
      </c>
      <c r="N2" s="224" t="s">
        <v>22</v>
      </c>
      <c r="O2" s="224" t="s">
        <v>126</v>
      </c>
      <c r="P2" s="224" t="s">
        <v>0</v>
      </c>
      <c r="Q2" s="224" t="s">
        <v>25</v>
      </c>
      <c r="R2" s="224" t="s">
        <v>3</v>
      </c>
      <c r="S2" s="224" t="s">
        <v>4</v>
      </c>
      <c r="T2" s="224" t="s">
        <v>5</v>
      </c>
      <c r="U2" s="224" t="s">
        <v>201</v>
      </c>
      <c r="V2" s="224" t="s">
        <v>7</v>
      </c>
      <c r="W2" s="224" t="s">
        <v>117</v>
      </c>
      <c r="X2" s="224" t="s">
        <v>8</v>
      </c>
      <c r="Y2" s="224" t="s">
        <v>6</v>
      </c>
      <c r="Z2" s="225" t="s">
        <v>128</v>
      </c>
      <c r="AA2" s="224" t="s">
        <v>71</v>
      </c>
      <c r="AB2" s="224" t="s">
        <v>27</v>
      </c>
      <c r="AC2" s="224" t="s">
        <v>96</v>
      </c>
      <c r="AD2" s="224" t="s">
        <v>98</v>
      </c>
      <c r="AE2" s="224" t="s">
        <v>119</v>
      </c>
      <c r="AF2" s="224" t="s">
        <v>129</v>
      </c>
      <c r="AG2" s="224" t="s">
        <v>130</v>
      </c>
      <c r="AH2" s="224" t="s">
        <v>23</v>
      </c>
      <c r="AI2" s="224" t="s">
        <v>24</v>
      </c>
      <c r="AJ2" s="224" t="s">
        <v>73</v>
      </c>
      <c r="AL2" s="11"/>
      <c r="AM2" s="11"/>
      <c r="AN2" s="11"/>
    </row>
    <row r="3" spans="1:40" x14ac:dyDescent="0.3">
      <c r="A3" s="12">
        <v>1</v>
      </c>
      <c r="B3" s="226" t="s">
        <v>18</v>
      </c>
      <c r="C3" s="84" t="s">
        <v>17</v>
      </c>
      <c r="D3" s="28"/>
      <c r="E3" s="82">
        <v>46267</v>
      </c>
      <c r="F3" s="18" t="s">
        <v>149</v>
      </c>
      <c r="G3" s="80"/>
      <c r="H3" s="25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>
        <v>80000</v>
      </c>
      <c r="AH3" s="18">
        <v>0</v>
      </c>
      <c r="AI3" s="16">
        <f t="shared" ref="AI3:AI21" si="0">SUM(H3:AH3)</f>
        <v>80000</v>
      </c>
      <c r="AJ3" s="5"/>
      <c r="AL3" s="19"/>
      <c r="AM3" s="19"/>
      <c r="AN3" s="19"/>
    </row>
    <row r="4" spans="1:40" x14ac:dyDescent="0.3">
      <c r="A4" s="12">
        <v>2</v>
      </c>
      <c r="B4" s="226" t="s">
        <v>18</v>
      </c>
      <c r="C4" s="84" t="s">
        <v>17</v>
      </c>
      <c r="D4" s="28"/>
      <c r="E4" s="82">
        <v>46270</v>
      </c>
      <c r="F4" s="40" t="s">
        <v>140</v>
      </c>
      <c r="G4" s="71"/>
      <c r="H4" s="35">
        <v>2814598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>
        <v>0</v>
      </c>
      <c r="AI4" s="16">
        <f t="shared" si="0"/>
        <v>2814598</v>
      </c>
      <c r="AJ4" s="5"/>
      <c r="AL4" s="86"/>
      <c r="AM4" s="86"/>
      <c r="AN4" s="86"/>
    </row>
    <row r="5" spans="1:40" x14ac:dyDescent="0.3">
      <c r="A5" s="12">
        <v>3</v>
      </c>
      <c r="B5" s="226" t="s">
        <v>18</v>
      </c>
      <c r="C5" s="84" t="s">
        <v>17</v>
      </c>
      <c r="D5" s="28"/>
      <c r="E5" s="82">
        <v>46270</v>
      </c>
      <c r="F5" s="40" t="s">
        <v>141</v>
      </c>
      <c r="G5" s="71"/>
      <c r="H5" s="35">
        <v>706601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>
        <v>0</v>
      </c>
      <c r="AI5" s="16">
        <f t="shared" si="0"/>
        <v>706601</v>
      </c>
      <c r="AJ5" s="5"/>
    </row>
    <row r="6" spans="1:40" x14ac:dyDescent="0.3">
      <c r="A6" s="12">
        <v>4</v>
      </c>
      <c r="B6" s="226" t="s">
        <v>18</v>
      </c>
      <c r="C6" s="84" t="s">
        <v>17</v>
      </c>
      <c r="D6" s="28"/>
      <c r="E6" s="82">
        <v>46270</v>
      </c>
      <c r="F6" s="40" t="s">
        <v>133</v>
      </c>
      <c r="G6" s="20"/>
      <c r="H6" s="3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v>28000</v>
      </c>
      <c r="AD6" s="18"/>
      <c r="AE6" s="18"/>
      <c r="AF6" s="18"/>
      <c r="AG6" s="18"/>
      <c r="AH6" s="18">
        <v>0</v>
      </c>
      <c r="AI6" s="16">
        <f t="shared" si="0"/>
        <v>28000</v>
      </c>
      <c r="AJ6" s="5"/>
    </row>
    <row r="7" spans="1:40" x14ac:dyDescent="0.3">
      <c r="A7" s="12">
        <v>5</v>
      </c>
      <c r="B7" s="226" t="s">
        <v>18</v>
      </c>
      <c r="C7" s="84" t="s">
        <v>17</v>
      </c>
      <c r="D7" s="28"/>
      <c r="E7" s="203">
        <v>46273</v>
      </c>
      <c r="F7" s="40" t="s">
        <v>143</v>
      </c>
      <c r="G7" s="20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>
        <v>64000</v>
      </c>
      <c r="AB7" s="18"/>
      <c r="AC7" s="18"/>
      <c r="AD7" s="18"/>
      <c r="AE7" s="18"/>
      <c r="AF7" s="18"/>
      <c r="AG7" s="18"/>
      <c r="AH7" s="18">
        <v>0</v>
      </c>
      <c r="AI7" s="204">
        <f t="shared" si="0"/>
        <v>64000</v>
      </c>
      <c r="AJ7" s="5"/>
    </row>
    <row r="8" spans="1:40" x14ac:dyDescent="0.3">
      <c r="A8" s="12">
        <v>6</v>
      </c>
      <c r="B8" s="226" t="s">
        <v>18</v>
      </c>
      <c r="C8" s="84" t="s">
        <v>17</v>
      </c>
      <c r="D8" s="28"/>
      <c r="E8" s="203">
        <v>46273</v>
      </c>
      <c r="F8" s="40" t="s">
        <v>144</v>
      </c>
      <c r="G8" s="20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>
        <v>24000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>
        <v>0</v>
      </c>
      <c r="AI8" s="16">
        <f t="shared" si="0"/>
        <v>24000</v>
      </c>
      <c r="AJ8" s="5"/>
    </row>
    <row r="9" spans="1:40" x14ac:dyDescent="0.3">
      <c r="A9" s="12">
        <v>7</v>
      </c>
      <c r="B9" s="226" t="s">
        <v>18</v>
      </c>
      <c r="C9" s="84" t="s">
        <v>17</v>
      </c>
      <c r="D9" s="28"/>
      <c r="E9" s="203">
        <v>46270</v>
      </c>
      <c r="F9" s="40" t="s">
        <v>145</v>
      </c>
      <c r="G9" s="8"/>
      <c r="H9" s="18"/>
      <c r="I9" s="18"/>
      <c r="J9" s="18"/>
      <c r="K9" s="18">
        <v>47000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>
        <v>0</v>
      </c>
      <c r="AI9" s="204">
        <f t="shared" si="0"/>
        <v>47000</v>
      </c>
      <c r="AJ9" s="5"/>
    </row>
    <row r="10" spans="1:40" x14ac:dyDescent="0.3">
      <c r="A10" s="12">
        <v>8</v>
      </c>
      <c r="B10" s="226" t="s">
        <v>18</v>
      </c>
      <c r="C10" s="84" t="s">
        <v>17</v>
      </c>
      <c r="D10" s="28"/>
      <c r="E10" s="203">
        <v>46274</v>
      </c>
      <c r="F10" s="40" t="s">
        <v>147</v>
      </c>
      <c r="G10" s="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>
        <v>25000</v>
      </c>
      <c r="AC10" s="18"/>
      <c r="AD10" s="18"/>
      <c r="AE10" s="18"/>
      <c r="AF10" s="18"/>
      <c r="AG10" s="18"/>
      <c r="AH10" s="18">
        <v>0</v>
      </c>
      <c r="AI10" s="204">
        <f t="shared" si="0"/>
        <v>25000</v>
      </c>
      <c r="AJ10" s="5"/>
    </row>
    <row r="11" spans="1:40" x14ac:dyDescent="0.3">
      <c r="A11" s="12">
        <v>9</v>
      </c>
      <c r="B11" s="226" t="s">
        <v>18</v>
      </c>
      <c r="C11" s="84" t="s">
        <v>17</v>
      </c>
      <c r="D11" s="28"/>
      <c r="E11" s="203">
        <v>46272</v>
      </c>
      <c r="F11" s="40" t="s">
        <v>148</v>
      </c>
      <c r="G11" s="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>
        <v>55000</v>
      </c>
      <c r="AI11" s="16">
        <f t="shared" si="0"/>
        <v>55000</v>
      </c>
      <c r="AJ11" s="5"/>
    </row>
    <row r="12" spans="1:40" x14ac:dyDescent="0.3">
      <c r="A12" s="12">
        <v>10</v>
      </c>
      <c r="B12" s="226" t="s">
        <v>18</v>
      </c>
      <c r="C12" s="84" t="s">
        <v>17</v>
      </c>
      <c r="D12" s="28"/>
      <c r="E12" s="203">
        <v>46275</v>
      </c>
      <c r="F12" s="40" t="s">
        <v>150</v>
      </c>
      <c r="G12" s="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>
        <v>35000</v>
      </c>
      <c r="AI12" s="204">
        <f t="shared" si="0"/>
        <v>35000</v>
      </c>
      <c r="AJ12" s="5"/>
      <c r="AL12" s="17"/>
      <c r="AM12" s="17"/>
    </row>
    <row r="13" spans="1:40" x14ac:dyDescent="0.3">
      <c r="A13" s="12">
        <v>11</v>
      </c>
      <c r="B13" s="226" t="s">
        <v>18</v>
      </c>
      <c r="C13" s="84" t="s">
        <v>17</v>
      </c>
      <c r="D13" s="28"/>
      <c r="E13" s="203">
        <v>46275</v>
      </c>
      <c r="F13" s="40" t="s">
        <v>151</v>
      </c>
      <c r="G13" s="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>
        <v>161747</v>
      </c>
      <c r="AI13" s="16">
        <f t="shared" si="0"/>
        <v>161747</v>
      </c>
      <c r="AJ13" s="5"/>
      <c r="AL13" s="17"/>
      <c r="AM13" s="17"/>
    </row>
    <row r="14" spans="1:40" x14ac:dyDescent="0.3">
      <c r="A14" s="12">
        <v>12</v>
      </c>
      <c r="B14" s="226" t="s">
        <v>18</v>
      </c>
      <c r="C14" s="84" t="s">
        <v>17</v>
      </c>
      <c r="D14" s="28"/>
      <c r="E14" s="203">
        <v>46275</v>
      </c>
      <c r="F14" s="40" t="s">
        <v>152</v>
      </c>
      <c r="G14" s="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>
        <v>28000</v>
      </c>
      <c r="AI14" s="16">
        <f t="shared" si="0"/>
        <v>28000</v>
      </c>
      <c r="AJ14" s="5"/>
    </row>
    <row r="15" spans="1:40" x14ac:dyDescent="0.3">
      <c r="A15" s="12">
        <v>13</v>
      </c>
      <c r="B15" s="226" t="s">
        <v>18</v>
      </c>
      <c r="C15" s="84" t="s">
        <v>17</v>
      </c>
      <c r="D15" s="28"/>
      <c r="E15" s="203">
        <v>46275</v>
      </c>
      <c r="F15" s="40" t="s">
        <v>153</v>
      </c>
      <c r="G15" s="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>
        <v>91419</v>
      </c>
      <c r="AE15" s="18"/>
      <c r="AF15" s="18"/>
      <c r="AG15" s="18"/>
      <c r="AH15" s="18">
        <v>0</v>
      </c>
      <c r="AI15" s="16">
        <f t="shared" si="0"/>
        <v>91419</v>
      </c>
      <c r="AJ15" s="5"/>
    </row>
    <row r="16" spans="1:40" x14ac:dyDescent="0.3">
      <c r="A16" s="12">
        <v>14</v>
      </c>
      <c r="B16" s="226" t="s">
        <v>18</v>
      </c>
      <c r="C16" s="84" t="s">
        <v>17</v>
      </c>
      <c r="D16" s="28"/>
      <c r="E16" s="203">
        <v>46275</v>
      </c>
      <c r="F16" s="40" t="s">
        <v>155</v>
      </c>
      <c r="G16" s="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>
        <v>223000</v>
      </c>
      <c r="AA16" s="18"/>
      <c r="AB16" s="18"/>
      <c r="AC16" s="18"/>
      <c r="AD16" s="18"/>
      <c r="AE16" s="18"/>
      <c r="AF16" s="18"/>
      <c r="AG16" s="18"/>
      <c r="AH16" s="18">
        <v>0</v>
      </c>
      <c r="AI16" s="16">
        <f t="shared" si="0"/>
        <v>223000</v>
      </c>
      <c r="AJ16" s="5"/>
      <c r="AN16">
        <v>385774</v>
      </c>
    </row>
    <row r="17" spans="1:40" x14ac:dyDescent="0.3">
      <c r="A17" s="12">
        <v>15</v>
      </c>
      <c r="B17" s="226" t="s">
        <v>18</v>
      </c>
      <c r="C17" s="84" t="s">
        <v>17</v>
      </c>
      <c r="D17" s="28"/>
      <c r="E17" s="203">
        <v>46275</v>
      </c>
      <c r="F17" s="40" t="s">
        <v>156</v>
      </c>
      <c r="G17" s="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>
        <v>899000</v>
      </c>
      <c r="AI17" s="16">
        <f t="shared" si="0"/>
        <v>899000</v>
      </c>
      <c r="AJ17" s="5"/>
      <c r="AN17">
        <v>-165355</v>
      </c>
    </row>
    <row r="18" spans="1:40" x14ac:dyDescent="0.3">
      <c r="A18" s="12">
        <v>16</v>
      </c>
      <c r="B18" s="226" t="s">
        <v>18</v>
      </c>
      <c r="C18" s="84" t="s">
        <v>17</v>
      </c>
      <c r="D18" s="28"/>
      <c r="E18" s="203">
        <v>46276</v>
      </c>
      <c r="F18" s="83" t="s">
        <v>159</v>
      </c>
      <c r="G18" s="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>
        <v>270000</v>
      </c>
      <c r="AI18" s="16">
        <f t="shared" si="0"/>
        <v>270000</v>
      </c>
      <c r="AJ18" s="5"/>
    </row>
    <row r="19" spans="1:40" x14ac:dyDescent="0.3">
      <c r="A19" s="12">
        <v>17</v>
      </c>
      <c r="B19" s="226" t="s">
        <v>18</v>
      </c>
      <c r="C19" s="84" t="s">
        <v>17</v>
      </c>
      <c r="D19" s="28"/>
      <c r="E19" s="203">
        <v>46276</v>
      </c>
      <c r="F19" s="40" t="s">
        <v>160</v>
      </c>
      <c r="G19" s="227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>
        <v>111000</v>
      </c>
      <c r="AA19" s="18"/>
      <c r="AB19" s="18"/>
      <c r="AC19" s="18"/>
      <c r="AD19" s="18"/>
      <c r="AE19" s="18"/>
      <c r="AF19" s="18"/>
      <c r="AG19" s="18"/>
      <c r="AH19" s="18">
        <v>0</v>
      </c>
      <c r="AI19" s="16">
        <f t="shared" si="0"/>
        <v>111000</v>
      </c>
      <c r="AJ19" s="5"/>
    </row>
    <row r="20" spans="1:40" x14ac:dyDescent="0.3">
      <c r="A20" s="12">
        <v>18</v>
      </c>
      <c r="B20" s="226" t="s">
        <v>18</v>
      </c>
      <c r="C20" s="84" t="s">
        <v>17</v>
      </c>
      <c r="D20" s="28"/>
      <c r="E20" s="203">
        <v>46276</v>
      </c>
      <c r="F20" s="40" t="s">
        <v>161</v>
      </c>
      <c r="G20" s="227"/>
      <c r="H20" s="18"/>
      <c r="I20" s="18"/>
      <c r="J20" s="18">
        <v>6307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>
        <v>0</v>
      </c>
      <c r="AI20" s="16">
        <f t="shared" si="0"/>
        <v>6307</v>
      </c>
      <c r="AJ20" s="5"/>
    </row>
    <row r="21" spans="1:40" x14ac:dyDescent="0.3">
      <c r="A21" s="12">
        <v>19</v>
      </c>
      <c r="B21" s="226" t="s">
        <v>18</v>
      </c>
      <c r="C21" s="84" t="s">
        <v>17</v>
      </c>
      <c r="D21" s="28"/>
      <c r="E21" s="203">
        <v>46276</v>
      </c>
      <c r="F21" s="40" t="s">
        <v>162</v>
      </c>
      <c r="G21" s="35"/>
      <c r="H21" s="18">
        <v>159064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>
        <v>0</v>
      </c>
      <c r="AI21" s="16">
        <f t="shared" si="0"/>
        <v>159064</v>
      </c>
      <c r="AJ21" s="5"/>
    </row>
    <row r="22" spans="1:40" x14ac:dyDescent="0.3">
      <c r="A22" s="12">
        <v>20</v>
      </c>
      <c r="B22" s="226" t="s">
        <v>18</v>
      </c>
      <c r="C22" s="84" t="s">
        <v>17</v>
      </c>
      <c r="D22" s="28"/>
      <c r="E22" s="203">
        <v>46276</v>
      </c>
      <c r="F22" s="40" t="s">
        <v>161</v>
      </c>
      <c r="G22" s="227"/>
      <c r="H22" s="18"/>
      <c r="I22" s="18"/>
      <c r="J22" s="18">
        <v>33030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>
        <v>0</v>
      </c>
      <c r="AI22" s="16">
        <f t="shared" ref="AI22:AI49" si="1">SUM(H22:AH22)</f>
        <v>33030</v>
      </c>
      <c r="AJ22" s="5"/>
    </row>
    <row r="23" spans="1:40" x14ac:dyDescent="0.3">
      <c r="A23" s="12">
        <v>21</v>
      </c>
      <c r="B23" s="226" t="s">
        <v>18</v>
      </c>
      <c r="C23" s="84" t="s">
        <v>17</v>
      </c>
      <c r="D23" s="28"/>
      <c r="E23" s="203">
        <v>46276</v>
      </c>
      <c r="F23" s="40" t="s">
        <v>164</v>
      </c>
      <c r="G23" s="227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>
        <v>3999775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>
        <v>0</v>
      </c>
      <c r="AI23" s="16">
        <f t="shared" si="1"/>
        <v>3999775</v>
      </c>
      <c r="AJ23" s="5"/>
    </row>
    <row r="24" spans="1:40" x14ac:dyDescent="0.3">
      <c r="A24" s="12">
        <v>22</v>
      </c>
      <c r="B24" s="226" t="s">
        <v>18</v>
      </c>
      <c r="C24" s="84" t="s">
        <v>17</v>
      </c>
      <c r="D24" s="28"/>
      <c r="E24" s="203">
        <v>46279</v>
      </c>
      <c r="F24" s="8" t="s">
        <v>173</v>
      </c>
      <c r="G24" s="227"/>
      <c r="H24" s="18"/>
      <c r="I24" s="18"/>
      <c r="J24" s="18"/>
      <c r="K24" s="18"/>
      <c r="L24" s="18"/>
      <c r="M24" s="18"/>
      <c r="N24" s="18"/>
      <c r="O24" s="18"/>
      <c r="P24" s="18">
        <v>530548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>
        <v>0</v>
      </c>
      <c r="AI24" s="16">
        <f t="shared" si="1"/>
        <v>530548</v>
      </c>
      <c r="AJ24" s="5"/>
    </row>
    <row r="25" spans="1:40" x14ac:dyDescent="0.3">
      <c r="A25" s="12">
        <v>23</v>
      </c>
      <c r="B25" s="226" t="s">
        <v>18</v>
      </c>
      <c r="C25" s="84" t="s">
        <v>17</v>
      </c>
      <c r="D25" s="28"/>
      <c r="E25" s="203">
        <v>46283</v>
      </c>
      <c r="F25" s="8" t="s">
        <v>179</v>
      </c>
      <c r="G25" s="227"/>
      <c r="H25" s="18"/>
      <c r="I25" s="18"/>
      <c r="J25" s="18"/>
      <c r="K25" s="18">
        <v>25000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>
        <v>0</v>
      </c>
      <c r="AI25" s="16">
        <f t="shared" si="1"/>
        <v>25000</v>
      </c>
      <c r="AJ25" s="5"/>
    </row>
    <row r="26" spans="1:40" x14ac:dyDescent="0.3">
      <c r="A26" s="12">
        <v>24</v>
      </c>
      <c r="B26" s="226" t="s">
        <v>18</v>
      </c>
      <c r="C26" s="84" t="s">
        <v>17</v>
      </c>
      <c r="D26" s="28"/>
      <c r="E26" s="203">
        <v>46286</v>
      </c>
      <c r="F26" s="8" t="s">
        <v>183</v>
      </c>
      <c r="G26" s="227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>
        <v>49000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>
        <v>0</v>
      </c>
      <c r="AI26" s="16">
        <f t="shared" si="1"/>
        <v>49000</v>
      </c>
      <c r="AJ26" s="5"/>
    </row>
    <row r="27" spans="1:40" x14ac:dyDescent="0.3">
      <c r="A27" s="12">
        <v>25</v>
      </c>
      <c r="B27" s="226" t="s">
        <v>18</v>
      </c>
      <c r="C27" s="84" t="s">
        <v>17</v>
      </c>
      <c r="D27" s="28"/>
      <c r="E27" s="203">
        <v>46286</v>
      </c>
      <c r="F27" s="40" t="s">
        <v>184</v>
      </c>
      <c r="G27" s="20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>
        <v>50000</v>
      </c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>
        <v>0</v>
      </c>
      <c r="AI27" s="16">
        <f t="shared" si="1"/>
        <v>50000</v>
      </c>
      <c r="AJ27" s="5"/>
    </row>
    <row r="28" spans="1:40" x14ac:dyDescent="0.3">
      <c r="A28" s="12">
        <v>26</v>
      </c>
      <c r="B28" s="226" t="s">
        <v>18</v>
      </c>
      <c r="C28" s="84" t="s">
        <v>17</v>
      </c>
      <c r="D28" s="28"/>
      <c r="E28" s="203">
        <v>46283</v>
      </c>
      <c r="F28" s="20" t="s">
        <v>188</v>
      </c>
      <c r="G28" s="71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>
        <v>237600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>
        <v>0</v>
      </c>
      <c r="AI28" s="16">
        <f t="shared" si="1"/>
        <v>237600</v>
      </c>
      <c r="AJ28" s="5"/>
    </row>
    <row r="29" spans="1:40" x14ac:dyDescent="0.3">
      <c r="A29" s="12">
        <v>27</v>
      </c>
      <c r="B29" s="226" t="s">
        <v>18</v>
      </c>
      <c r="C29" s="84" t="s">
        <v>17</v>
      </c>
      <c r="D29" s="28"/>
      <c r="E29" s="66">
        <v>46283</v>
      </c>
      <c r="F29" s="20" t="s">
        <v>202</v>
      </c>
      <c r="G29" s="71"/>
      <c r="H29" s="18"/>
      <c r="I29" s="18"/>
      <c r="J29" s="18"/>
      <c r="K29" s="18"/>
      <c r="L29" s="18"/>
      <c r="M29" s="18">
        <v>26000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>
        <v>0</v>
      </c>
      <c r="AI29" s="16">
        <f t="shared" si="1"/>
        <v>26000</v>
      </c>
      <c r="AJ29" s="5"/>
    </row>
    <row r="30" spans="1:40" x14ac:dyDescent="0.3">
      <c r="A30" s="12">
        <v>28</v>
      </c>
      <c r="B30" s="226" t="s">
        <v>18</v>
      </c>
      <c r="C30" s="84" t="s">
        <v>17</v>
      </c>
      <c r="D30" s="28"/>
      <c r="E30" s="203">
        <v>46287</v>
      </c>
      <c r="F30" s="40" t="s">
        <v>191</v>
      </c>
      <c r="G30" s="71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>
        <v>57587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>
        <v>0</v>
      </c>
      <c r="AI30" s="16">
        <f t="shared" si="1"/>
        <v>57587</v>
      </c>
      <c r="AJ30" s="5"/>
    </row>
    <row r="31" spans="1:40" x14ac:dyDescent="0.3">
      <c r="A31" s="12">
        <v>29</v>
      </c>
      <c r="B31" s="226" t="s">
        <v>18</v>
      </c>
      <c r="C31" s="84" t="s">
        <v>17</v>
      </c>
      <c r="D31" s="28"/>
      <c r="E31" s="203">
        <v>46287</v>
      </c>
      <c r="F31" s="40" t="s">
        <v>196</v>
      </c>
      <c r="G31" s="71"/>
      <c r="H31" s="18"/>
      <c r="I31" s="18"/>
      <c r="J31" s="18"/>
      <c r="K31" s="18"/>
      <c r="L31" s="18"/>
      <c r="M31" s="18"/>
      <c r="N31" s="18"/>
      <c r="O31" s="18"/>
      <c r="P31" s="18"/>
      <c r="Q31" s="18">
        <v>467258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>
        <v>0</v>
      </c>
      <c r="AI31" s="16">
        <f t="shared" si="1"/>
        <v>467258</v>
      </c>
      <c r="AJ31" s="5"/>
    </row>
    <row r="32" spans="1:40" x14ac:dyDescent="0.3">
      <c r="A32" s="12">
        <v>30</v>
      </c>
      <c r="B32" s="226" t="s">
        <v>18</v>
      </c>
      <c r="C32" s="84" t="s">
        <v>17</v>
      </c>
      <c r="D32" s="28"/>
      <c r="E32" s="203">
        <v>46294</v>
      </c>
      <c r="F32" s="40" t="s">
        <v>207</v>
      </c>
      <c r="G32" s="20"/>
      <c r="H32" s="18"/>
      <c r="I32" s="18"/>
      <c r="J32" s="18"/>
      <c r="K32" s="18">
        <v>471129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0</v>
      </c>
      <c r="AI32" s="16">
        <f t="shared" si="1"/>
        <v>471129</v>
      </c>
      <c r="AJ32" s="5"/>
    </row>
    <row r="33" spans="1:36" x14ac:dyDescent="0.3">
      <c r="A33" s="12">
        <v>31</v>
      </c>
      <c r="B33" s="226" t="s">
        <v>18</v>
      </c>
      <c r="C33" s="84" t="s">
        <v>17</v>
      </c>
      <c r="D33" s="28"/>
      <c r="E33" s="203">
        <v>46294</v>
      </c>
      <c r="F33" s="40" t="s">
        <v>208</v>
      </c>
      <c r="G33" s="20"/>
      <c r="H33" s="18"/>
      <c r="I33" s="18"/>
      <c r="J33" s="18"/>
      <c r="K33" s="18"/>
      <c r="L33" s="18"/>
      <c r="M33" s="18">
        <v>170000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>
        <v>0</v>
      </c>
      <c r="AI33" s="16">
        <f t="shared" si="1"/>
        <v>170000</v>
      </c>
      <c r="AJ33" s="5"/>
    </row>
    <row r="34" spans="1:36" x14ac:dyDescent="0.3">
      <c r="A34" s="12">
        <v>32</v>
      </c>
      <c r="B34" s="226" t="s">
        <v>18</v>
      </c>
      <c r="C34" s="84" t="s">
        <v>17</v>
      </c>
      <c r="D34" s="28"/>
      <c r="E34" s="203">
        <v>46294</v>
      </c>
      <c r="F34" s="40" t="s">
        <v>209</v>
      </c>
      <c r="G34" s="71"/>
      <c r="H34" s="18"/>
      <c r="I34" s="18"/>
      <c r="J34" s="18"/>
      <c r="K34" s="18"/>
      <c r="L34" s="18"/>
      <c r="M34" s="18"/>
      <c r="N34" s="18">
        <v>322000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>
        <v>0</v>
      </c>
      <c r="AI34" s="16">
        <f t="shared" si="1"/>
        <v>322000</v>
      </c>
      <c r="AJ34" s="5"/>
    </row>
    <row r="35" spans="1:36" x14ac:dyDescent="0.3">
      <c r="A35" s="12">
        <v>33</v>
      </c>
      <c r="B35" s="226" t="s">
        <v>18</v>
      </c>
      <c r="C35" s="84" t="s">
        <v>17</v>
      </c>
      <c r="D35" s="28"/>
      <c r="E35" s="203">
        <v>46294</v>
      </c>
      <c r="F35" s="40" t="s">
        <v>213</v>
      </c>
      <c r="G35" s="73"/>
      <c r="H35" s="18"/>
      <c r="I35" s="18"/>
      <c r="J35" s="18"/>
      <c r="K35" s="18"/>
      <c r="L35" s="18">
        <v>100000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>
        <v>0</v>
      </c>
      <c r="AI35" s="16">
        <f t="shared" si="1"/>
        <v>100000</v>
      </c>
      <c r="AJ35" s="5"/>
    </row>
    <row r="36" spans="1:36" x14ac:dyDescent="0.3">
      <c r="A36" s="12">
        <v>34</v>
      </c>
      <c r="B36" s="226" t="s">
        <v>18</v>
      </c>
      <c r="C36" s="84" t="s">
        <v>17</v>
      </c>
      <c r="D36" s="28"/>
      <c r="E36" s="203">
        <v>46295</v>
      </c>
      <c r="F36" s="40" t="s">
        <v>214</v>
      </c>
      <c r="G36" s="73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>
        <v>55000</v>
      </c>
      <c r="AI36" s="16">
        <f t="shared" si="1"/>
        <v>55000</v>
      </c>
      <c r="AJ36" s="5"/>
    </row>
    <row r="37" spans="1:36" x14ac:dyDescent="0.3">
      <c r="A37" s="12">
        <v>35</v>
      </c>
      <c r="B37" s="226" t="s">
        <v>18</v>
      </c>
      <c r="C37" s="84" t="s">
        <v>17</v>
      </c>
      <c r="D37" s="28"/>
      <c r="E37" s="228">
        <v>46276</v>
      </c>
      <c r="F37" s="40" t="s">
        <v>269</v>
      </c>
      <c r="G37" s="67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>
        <v>258000</v>
      </c>
      <c r="AF37" s="18"/>
      <c r="AG37" s="18"/>
      <c r="AH37" s="18">
        <v>0</v>
      </c>
      <c r="AI37" s="16">
        <f t="shared" si="1"/>
        <v>258000</v>
      </c>
      <c r="AJ37" s="5"/>
    </row>
    <row r="38" spans="1:36" x14ac:dyDescent="0.3">
      <c r="A38" s="12">
        <v>36</v>
      </c>
      <c r="B38" s="226" t="s">
        <v>18</v>
      </c>
      <c r="C38" s="84" t="s">
        <v>17</v>
      </c>
      <c r="D38" s="28"/>
      <c r="E38" s="66"/>
      <c r="F38" s="20"/>
      <c r="G38" s="67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>
        <v>0</v>
      </c>
      <c r="AI38" s="16">
        <f t="shared" si="1"/>
        <v>0</v>
      </c>
      <c r="AJ38" s="5"/>
    </row>
    <row r="39" spans="1:36" x14ac:dyDescent="0.3">
      <c r="A39" s="12">
        <v>37</v>
      </c>
      <c r="B39" s="226" t="s">
        <v>18</v>
      </c>
      <c r="C39" s="84" t="s">
        <v>17</v>
      </c>
      <c r="D39" s="28"/>
      <c r="E39" s="203"/>
      <c r="F39" s="8"/>
      <c r="G39" s="67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>
        <v>0</v>
      </c>
      <c r="AI39" s="16">
        <f t="shared" si="1"/>
        <v>0</v>
      </c>
      <c r="AJ39" s="5"/>
    </row>
    <row r="40" spans="1:36" x14ac:dyDescent="0.3">
      <c r="A40" s="12">
        <v>38</v>
      </c>
      <c r="B40" s="226" t="s">
        <v>18</v>
      </c>
      <c r="C40" s="84" t="s">
        <v>17</v>
      </c>
      <c r="D40" s="28"/>
      <c r="E40" s="203"/>
      <c r="F40" s="8"/>
      <c r="G40" s="67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>
        <v>0</v>
      </c>
      <c r="AI40" s="16">
        <f t="shared" si="1"/>
        <v>0</v>
      </c>
      <c r="AJ40" s="5"/>
    </row>
    <row r="41" spans="1:36" x14ac:dyDescent="0.3">
      <c r="A41" s="12">
        <v>39</v>
      </c>
      <c r="B41" s="226" t="s">
        <v>18</v>
      </c>
      <c r="C41" s="84" t="s">
        <v>17</v>
      </c>
      <c r="D41" s="28"/>
      <c r="E41" s="203"/>
      <c r="F41" s="8"/>
      <c r="G41" s="67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>
        <v>0</v>
      </c>
      <c r="AI41" s="16">
        <f t="shared" si="1"/>
        <v>0</v>
      </c>
      <c r="AJ41" s="5"/>
    </row>
    <row r="42" spans="1:36" x14ac:dyDescent="0.3">
      <c r="A42" s="12">
        <v>40</v>
      </c>
      <c r="B42" s="226" t="s">
        <v>18</v>
      </c>
      <c r="C42" s="84" t="s">
        <v>17</v>
      </c>
      <c r="D42" s="28"/>
      <c r="E42" s="203"/>
      <c r="F42" s="8"/>
      <c r="G42" s="67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>
        <v>0</v>
      </c>
      <c r="AI42" s="16">
        <f t="shared" si="1"/>
        <v>0</v>
      </c>
      <c r="AJ42" s="5"/>
    </row>
    <row r="43" spans="1:36" x14ac:dyDescent="0.3">
      <c r="A43" s="12">
        <v>41</v>
      </c>
      <c r="B43" s="226" t="s">
        <v>18</v>
      </c>
      <c r="C43" s="84" t="s">
        <v>17</v>
      </c>
      <c r="D43" s="28"/>
      <c r="E43" s="203"/>
      <c r="F43" s="18"/>
      <c r="G43" s="67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>
        <v>0</v>
      </c>
      <c r="AI43" s="16">
        <f t="shared" si="1"/>
        <v>0</v>
      </c>
      <c r="AJ43" s="5"/>
    </row>
    <row r="44" spans="1:36" x14ac:dyDescent="0.3">
      <c r="A44" s="12">
        <v>42</v>
      </c>
      <c r="B44" s="226" t="s">
        <v>18</v>
      </c>
      <c r="C44" s="84" t="s">
        <v>17</v>
      </c>
      <c r="D44" s="28"/>
      <c r="E44" s="203"/>
      <c r="F44" s="18"/>
      <c r="G44" s="67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>
        <v>0</v>
      </c>
      <c r="AI44" s="16">
        <f t="shared" si="1"/>
        <v>0</v>
      </c>
      <c r="AJ44" s="5"/>
    </row>
    <row r="45" spans="1:36" x14ac:dyDescent="0.3">
      <c r="A45" s="12">
        <v>43</v>
      </c>
      <c r="B45" s="226" t="s">
        <v>18</v>
      </c>
      <c r="C45" s="84" t="s">
        <v>17</v>
      </c>
      <c r="D45" s="28"/>
      <c r="E45" s="203"/>
      <c r="F45" s="8"/>
      <c r="G45" s="67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>
        <v>0</v>
      </c>
      <c r="AI45" s="16">
        <f t="shared" si="1"/>
        <v>0</v>
      </c>
      <c r="AJ45" s="5"/>
    </row>
    <row r="46" spans="1:36" x14ac:dyDescent="0.3">
      <c r="A46" s="12">
        <v>44</v>
      </c>
      <c r="B46" s="226" t="s">
        <v>18</v>
      </c>
      <c r="C46" s="84" t="s">
        <v>17</v>
      </c>
      <c r="D46" s="28"/>
      <c r="E46" s="203"/>
      <c r="F46" s="8"/>
      <c r="G46" s="67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>
        <v>0</v>
      </c>
      <c r="AI46" s="16">
        <f t="shared" si="1"/>
        <v>0</v>
      </c>
      <c r="AJ46" s="5"/>
    </row>
    <row r="47" spans="1:36" x14ac:dyDescent="0.3">
      <c r="A47" s="12">
        <v>45</v>
      </c>
      <c r="B47" s="226" t="s">
        <v>18</v>
      </c>
      <c r="C47" s="84" t="s">
        <v>17</v>
      </c>
      <c r="D47" s="28"/>
      <c r="E47" s="203"/>
      <c r="F47" s="8"/>
      <c r="G47" s="67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>
        <v>0</v>
      </c>
      <c r="AI47" s="16">
        <f t="shared" si="1"/>
        <v>0</v>
      </c>
      <c r="AJ47" s="5"/>
    </row>
    <row r="48" spans="1:36" x14ac:dyDescent="0.3">
      <c r="A48" s="12">
        <v>46</v>
      </c>
      <c r="B48" s="226" t="s">
        <v>18</v>
      </c>
      <c r="C48" s="84" t="s">
        <v>17</v>
      </c>
      <c r="D48" s="28"/>
      <c r="E48" s="203"/>
      <c r="F48" s="8"/>
      <c r="G48" s="67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>
        <v>0</v>
      </c>
      <c r="AI48" s="16">
        <f t="shared" si="1"/>
        <v>0</v>
      </c>
      <c r="AJ48" s="5"/>
    </row>
    <row r="49" spans="1:36" x14ac:dyDescent="0.3">
      <c r="A49" s="12">
        <v>47</v>
      </c>
      <c r="B49" s="226" t="s">
        <v>18</v>
      </c>
      <c r="C49" s="84" t="s">
        <v>17</v>
      </c>
      <c r="D49" s="28"/>
      <c r="E49" s="70"/>
      <c r="F49" s="71"/>
      <c r="G49" s="72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>
        <v>0</v>
      </c>
      <c r="AI49" s="16">
        <f t="shared" si="1"/>
        <v>0</v>
      </c>
      <c r="AJ49" s="5"/>
    </row>
    <row r="50" spans="1:36" s="87" customFormat="1" x14ac:dyDescent="0.3">
      <c r="A50" s="296" t="s">
        <v>16</v>
      </c>
      <c r="B50" s="296"/>
      <c r="C50" s="296"/>
      <c r="D50" s="296"/>
      <c r="E50" s="296"/>
      <c r="F50" s="296"/>
      <c r="G50" s="296"/>
      <c r="H50" s="229">
        <f t="shared" ref="H50:AI50" si="2">SUM(H3:H49)</f>
        <v>3680263</v>
      </c>
      <c r="I50" s="229">
        <f t="shared" si="2"/>
        <v>0</v>
      </c>
      <c r="J50" s="229">
        <f t="shared" si="2"/>
        <v>39337</v>
      </c>
      <c r="K50" s="229">
        <f t="shared" si="2"/>
        <v>543129</v>
      </c>
      <c r="L50" s="229">
        <f t="shared" si="2"/>
        <v>100000</v>
      </c>
      <c r="M50" s="229">
        <f t="shared" si="2"/>
        <v>196000</v>
      </c>
      <c r="N50" s="229">
        <f t="shared" si="2"/>
        <v>322000</v>
      </c>
      <c r="O50" s="229">
        <f t="shared" si="2"/>
        <v>0</v>
      </c>
      <c r="P50" s="229">
        <f t="shared" si="2"/>
        <v>530548</v>
      </c>
      <c r="Q50" s="229">
        <f t="shared" si="2"/>
        <v>467258</v>
      </c>
      <c r="R50" s="229">
        <f t="shared" si="2"/>
        <v>49000</v>
      </c>
      <c r="S50" s="229">
        <f t="shared" si="2"/>
        <v>50000</v>
      </c>
      <c r="T50" s="229">
        <f t="shared" si="2"/>
        <v>24000</v>
      </c>
      <c r="U50" s="229">
        <f t="shared" si="2"/>
        <v>4294962</v>
      </c>
      <c r="V50" s="229">
        <f t="shared" si="2"/>
        <v>0</v>
      </c>
      <c r="W50" s="229">
        <f t="shared" si="2"/>
        <v>0</v>
      </c>
      <c r="X50" s="229">
        <f t="shared" si="2"/>
        <v>0</v>
      </c>
      <c r="Y50" s="229">
        <f t="shared" si="2"/>
        <v>0</v>
      </c>
      <c r="Z50" s="229">
        <f t="shared" si="2"/>
        <v>334000</v>
      </c>
      <c r="AA50" s="229">
        <f t="shared" si="2"/>
        <v>64000</v>
      </c>
      <c r="AB50" s="229">
        <f t="shared" si="2"/>
        <v>25000</v>
      </c>
      <c r="AC50" s="229">
        <f t="shared" si="2"/>
        <v>28000</v>
      </c>
      <c r="AD50" s="229">
        <f t="shared" si="2"/>
        <v>91419</v>
      </c>
      <c r="AE50" s="229">
        <f t="shared" si="2"/>
        <v>258000</v>
      </c>
      <c r="AF50" s="229">
        <f t="shared" si="2"/>
        <v>0</v>
      </c>
      <c r="AG50" s="229">
        <f t="shared" si="2"/>
        <v>80000</v>
      </c>
      <c r="AH50" s="229">
        <f t="shared" si="2"/>
        <v>1503747</v>
      </c>
      <c r="AI50" s="229">
        <f t="shared" si="2"/>
        <v>12680663</v>
      </c>
      <c r="AJ50" s="230"/>
    </row>
    <row r="51" spans="1:36" x14ac:dyDescent="0.3">
      <c r="A51" s="15">
        <v>1</v>
      </c>
      <c r="B51" s="226" t="s">
        <v>18</v>
      </c>
      <c r="C51" s="84" t="s">
        <v>46</v>
      </c>
      <c r="D51" s="8"/>
      <c r="E51" s="29">
        <v>46283</v>
      </c>
      <c r="F51" s="20" t="s">
        <v>186</v>
      </c>
      <c r="G51" s="8"/>
      <c r="H51" s="18"/>
      <c r="I51" s="18"/>
      <c r="J51" s="18"/>
      <c r="K51" s="18"/>
      <c r="L51" s="18"/>
      <c r="M51" s="18"/>
      <c r="N51" s="18">
        <v>10000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>
        <v>0</v>
      </c>
      <c r="AI51" s="18">
        <f t="shared" ref="AI51:AI76" si="3">SUM(H51:AH51)</f>
        <v>10000</v>
      </c>
      <c r="AJ51" s="8"/>
    </row>
    <row r="52" spans="1:36" x14ac:dyDescent="0.3">
      <c r="A52" s="15">
        <v>2</v>
      </c>
      <c r="B52" s="226" t="s">
        <v>18</v>
      </c>
      <c r="C52" s="84" t="s">
        <v>46</v>
      </c>
      <c r="D52" s="13"/>
      <c r="E52" s="203">
        <v>46292</v>
      </c>
      <c r="F52" s="223" t="s">
        <v>210</v>
      </c>
      <c r="G52" s="20"/>
      <c r="H52" s="18"/>
      <c r="I52" s="18"/>
      <c r="J52" s="18"/>
      <c r="K52" s="18"/>
      <c r="L52" s="18"/>
      <c r="M52" s="18"/>
      <c r="N52" s="18"/>
      <c r="O52" s="18"/>
      <c r="P52" s="18">
        <v>5000</v>
      </c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>
        <v>0</v>
      </c>
      <c r="AI52" s="18">
        <f t="shared" si="3"/>
        <v>5000</v>
      </c>
      <c r="AJ52" s="8"/>
    </row>
    <row r="53" spans="1:36" x14ac:dyDescent="0.3">
      <c r="A53" s="15">
        <v>3</v>
      </c>
      <c r="B53" s="226" t="s">
        <v>18</v>
      </c>
      <c r="C53" s="84" t="s">
        <v>46</v>
      </c>
      <c r="D53" s="8"/>
      <c r="E53" s="203">
        <v>46292</v>
      </c>
      <c r="F53" s="223" t="s">
        <v>211</v>
      </c>
      <c r="G53" s="20"/>
      <c r="H53" s="18">
        <v>5000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>
        <v>0</v>
      </c>
      <c r="AI53" s="18">
        <f t="shared" si="3"/>
        <v>5000</v>
      </c>
      <c r="AJ53" s="8"/>
    </row>
    <row r="54" spans="1:36" x14ac:dyDescent="0.3">
      <c r="A54" s="15">
        <v>4</v>
      </c>
      <c r="B54" s="226" t="s">
        <v>18</v>
      </c>
      <c r="C54" s="84" t="s">
        <v>46</v>
      </c>
      <c r="D54" s="8"/>
      <c r="E54" s="203">
        <v>46292</v>
      </c>
      <c r="F54" s="223" t="s">
        <v>212</v>
      </c>
      <c r="G54" s="20"/>
      <c r="H54" s="18"/>
      <c r="I54" s="18"/>
      <c r="J54" s="18"/>
      <c r="K54" s="18"/>
      <c r="L54" s="18"/>
      <c r="M54" s="18"/>
      <c r="N54" s="18"/>
      <c r="O54" s="18"/>
      <c r="P54" s="18">
        <v>5000</v>
      </c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>
        <v>0</v>
      </c>
      <c r="AI54" s="18">
        <f t="shared" si="3"/>
        <v>5000</v>
      </c>
      <c r="AJ54" s="8"/>
    </row>
    <row r="55" spans="1:36" x14ac:dyDescent="0.3">
      <c r="A55" s="15">
        <v>5</v>
      </c>
      <c r="B55" s="226" t="s">
        <v>18</v>
      </c>
      <c r="C55" s="84" t="s">
        <v>46</v>
      </c>
      <c r="D55" s="8"/>
      <c r="E55" s="208">
        <v>46282</v>
      </c>
      <c r="F55" s="128" t="s">
        <v>192</v>
      </c>
      <c r="G55" s="20"/>
      <c r="H55" s="18"/>
      <c r="I55" s="18"/>
      <c r="J55" s="18"/>
      <c r="K55" s="18"/>
      <c r="L55" s="18"/>
      <c r="M55" s="18"/>
      <c r="N55" s="18"/>
      <c r="O55" s="18"/>
      <c r="P55" s="18"/>
      <c r="Q55" s="18">
        <v>5000</v>
      </c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>
        <v>0</v>
      </c>
      <c r="AI55" s="18">
        <f t="shared" si="3"/>
        <v>5000</v>
      </c>
      <c r="AJ55" s="8"/>
    </row>
    <row r="56" spans="1:36" x14ac:dyDescent="0.3">
      <c r="A56" s="15">
        <v>6</v>
      </c>
      <c r="B56" s="226" t="s">
        <v>18</v>
      </c>
      <c r="C56" s="84" t="s">
        <v>46</v>
      </c>
      <c r="D56" s="8"/>
      <c r="E56" s="66"/>
      <c r="F56" s="20"/>
      <c r="G56" s="20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>
        <v>0</v>
      </c>
      <c r="AI56" s="18">
        <f t="shared" si="3"/>
        <v>0</v>
      </c>
      <c r="AJ56" s="8"/>
    </row>
    <row r="57" spans="1:36" x14ac:dyDescent="0.3">
      <c r="A57" s="15">
        <v>7</v>
      </c>
      <c r="B57" s="226" t="s">
        <v>18</v>
      </c>
      <c r="C57" s="84" t="s">
        <v>46</v>
      </c>
      <c r="D57" s="8"/>
      <c r="E57" s="66"/>
      <c r="F57" s="20"/>
      <c r="G57" s="20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>
        <v>0</v>
      </c>
      <c r="AI57" s="18">
        <f t="shared" si="3"/>
        <v>0</v>
      </c>
      <c r="AJ57" s="8"/>
    </row>
    <row r="58" spans="1:36" x14ac:dyDescent="0.3">
      <c r="A58" s="15">
        <v>8</v>
      </c>
      <c r="B58" s="226" t="s">
        <v>18</v>
      </c>
      <c r="C58" s="84" t="s">
        <v>46</v>
      </c>
      <c r="D58" s="1"/>
      <c r="E58" s="66"/>
      <c r="F58" s="20"/>
      <c r="G58" s="20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>
        <v>0</v>
      </c>
      <c r="AI58" s="18">
        <f t="shared" si="3"/>
        <v>0</v>
      </c>
      <c r="AJ58" s="8"/>
    </row>
    <row r="59" spans="1:36" x14ac:dyDescent="0.3">
      <c r="A59" s="15">
        <v>9</v>
      </c>
      <c r="B59" s="226" t="s">
        <v>18</v>
      </c>
      <c r="C59" s="84" t="s">
        <v>46</v>
      </c>
      <c r="D59" s="1"/>
      <c r="E59" s="68"/>
      <c r="F59" s="69"/>
      <c r="G59" s="69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>
        <v>0</v>
      </c>
      <c r="AI59" s="18">
        <f t="shared" si="3"/>
        <v>0</v>
      </c>
      <c r="AJ59" s="8"/>
    </row>
    <row r="60" spans="1:36" x14ac:dyDescent="0.3">
      <c r="A60" s="15">
        <v>10</v>
      </c>
      <c r="B60" s="226" t="s">
        <v>18</v>
      </c>
      <c r="C60" s="84" t="s">
        <v>46</v>
      </c>
      <c r="D60" s="1"/>
      <c r="E60" s="68"/>
      <c r="F60" s="69"/>
      <c r="G60" s="69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>
        <v>0</v>
      </c>
      <c r="AI60" s="18">
        <f t="shared" si="3"/>
        <v>0</v>
      </c>
      <c r="AJ60" s="8"/>
    </row>
    <row r="61" spans="1:36" x14ac:dyDescent="0.3">
      <c r="A61" s="15">
        <v>11</v>
      </c>
      <c r="B61" s="226" t="s">
        <v>18</v>
      </c>
      <c r="C61" s="84" t="s">
        <v>46</v>
      </c>
      <c r="D61" s="1"/>
      <c r="E61" s="68"/>
      <c r="F61" s="69"/>
      <c r="G61" s="69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>
        <v>0</v>
      </c>
      <c r="AI61" s="18">
        <f t="shared" si="3"/>
        <v>0</v>
      </c>
      <c r="AJ61" s="8"/>
    </row>
    <row r="62" spans="1:36" x14ac:dyDescent="0.3">
      <c r="A62" s="15">
        <v>12</v>
      </c>
      <c r="B62" s="226" t="s">
        <v>18</v>
      </c>
      <c r="C62" s="84" t="s">
        <v>46</v>
      </c>
      <c r="D62" s="1"/>
      <c r="E62" s="2"/>
      <c r="F62" s="3"/>
      <c r="G62" s="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>
        <v>0</v>
      </c>
      <c r="AI62" s="18">
        <f t="shared" si="3"/>
        <v>0</v>
      </c>
      <c r="AJ62" s="8"/>
    </row>
    <row r="63" spans="1:36" x14ac:dyDescent="0.3">
      <c r="A63" s="15">
        <v>13</v>
      </c>
      <c r="B63" s="226" t="s">
        <v>18</v>
      </c>
      <c r="C63" s="84" t="s">
        <v>46</v>
      </c>
      <c r="D63" s="1"/>
      <c r="E63" s="2"/>
      <c r="F63" s="3"/>
      <c r="G63" s="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>
        <v>0</v>
      </c>
      <c r="AI63" s="18">
        <f t="shared" si="3"/>
        <v>0</v>
      </c>
      <c r="AJ63" s="8"/>
    </row>
    <row r="64" spans="1:36" x14ac:dyDescent="0.3">
      <c r="A64" s="15">
        <v>14</v>
      </c>
      <c r="B64" s="226" t="s">
        <v>18</v>
      </c>
      <c r="C64" s="84" t="s">
        <v>46</v>
      </c>
      <c r="D64" s="1"/>
      <c r="E64" s="2"/>
      <c r="F64" s="3"/>
      <c r="G64" s="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>
        <v>0</v>
      </c>
      <c r="AI64" s="18">
        <f t="shared" si="3"/>
        <v>0</v>
      </c>
      <c r="AJ64" s="8"/>
    </row>
    <row r="65" spans="1:40" x14ac:dyDescent="0.3">
      <c r="A65" s="15">
        <v>15</v>
      </c>
      <c r="B65" s="226" t="s">
        <v>18</v>
      </c>
      <c r="C65" s="84" t="s">
        <v>46</v>
      </c>
      <c r="D65" s="1"/>
      <c r="E65" s="2"/>
      <c r="F65" s="3"/>
      <c r="G65" s="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>
        <v>0</v>
      </c>
      <c r="AI65" s="18">
        <f t="shared" si="3"/>
        <v>0</v>
      </c>
      <c r="AJ65" s="8"/>
    </row>
    <row r="66" spans="1:40" x14ac:dyDescent="0.3">
      <c r="A66" s="15">
        <v>16</v>
      </c>
      <c r="B66" s="226" t="s">
        <v>18</v>
      </c>
      <c r="C66" s="84" t="s">
        <v>46</v>
      </c>
      <c r="D66" s="1"/>
      <c r="E66" s="2"/>
      <c r="F66" s="9"/>
      <c r="G66" s="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>
        <v>0</v>
      </c>
      <c r="AI66" s="18">
        <f t="shared" si="3"/>
        <v>0</v>
      </c>
      <c r="AJ66" s="8"/>
    </row>
    <row r="67" spans="1:40" x14ac:dyDescent="0.3">
      <c r="A67" s="15">
        <v>17</v>
      </c>
      <c r="B67" s="226" t="s">
        <v>18</v>
      </c>
      <c r="C67" s="84" t="s">
        <v>46</v>
      </c>
      <c r="D67" s="1"/>
      <c r="E67" s="2"/>
      <c r="F67" s="8"/>
      <c r="G67" s="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>
        <v>0</v>
      </c>
      <c r="AI67" s="18">
        <f t="shared" si="3"/>
        <v>0</v>
      </c>
      <c r="AJ67" s="8"/>
    </row>
    <row r="68" spans="1:40" x14ac:dyDescent="0.3">
      <c r="A68" s="15">
        <v>18</v>
      </c>
      <c r="B68" s="226" t="s">
        <v>18</v>
      </c>
      <c r="C68" s="84" t="s">
        <v>46</v>
      </c>
      <c r="D68" s="1"/>
      <c r="E68" s="2"/>
      <c r="F68" s="8"/>
      <c r="G68" s="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>
        <v>0</v>
      </c>
      <c r="AI68" s="18">
        <f t="shared" si="3"/>
        <v>0</v>
      </c>
      <c r="AJ68" s="8"/>
    </row>
    <row r="69" spans="1:40" x14ac:dyDescent="0.3">
      <c r="A69" s="15">
        <v>19</v>
      </c>
      <c r="B69" s="226" t="s">
        <v>18</v>
      </c>
      <c r="C69" s="84" t="s">
        <v>46</v>
      </c>
      <c r="D69" s="1"/>
      <c r="E69" s="2"/>
      <c r="F69" s="3"/>
      <c r="G69" s="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>
        <v>0</v>
      </c>
      <c r="AI69" s="18">
        <f t="shared" si="3"/>
        <v>0</v>
      </c>
      <c r="AJ69" s="8"/>
    </row>
    <row r="70" spans="1:40" x14ac:dyDescent="0.3">
      <c r="A70" s="15">
        <v>20</v>
      </c>
      <c r="B70" s="226" t="s">
        <v>18</v>
      </c>
      <c r="C70" s="84" t="s">
        <v>46</v>
      </c>
      <c r="D70" s="1"/>
      <c r="E70" s="2"/>
      <c r="F70" s="9"/>
      <c r="G70" s="8"/>
      <c r="H70" s="18">
        <v>0</v>
      </c>
      <c r="I70" s="18">
        <v>0</v>
      </c>
      <c r="J70" s="18">
        <v>0</v>
      </c>
      <c r="K70" s="18">
        <v>0</v>
      </c>
      <c r="L70" s="18"/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/>
      <c r="AD70" s="18"/>
      <c r="AE70" s="18"/>
      <c r="AF70" s="18"/>
      <c r="AG70" s="18"/>
      <c r="AH70" s="18">
        <v>0</v>
      </c>
      <c r="AI70" s="18">
        <f t="shared" si="3"/>
        <v>0</v>
      </c>
      <c r="AJ70" s="8"/>
    </row>
    <row r="71" spans="1:40" x14ac:dyDescent="0.3">
      <c r="A71" s="15">
        <v>21</v>
      </c>
      <c r="B71" s="226" t="s">
        <v>18</v>
      </c>
      <c r="C71" s="84" t="s">
        <v>46</v>
      </c>
      <c r="D71" s="1"/>
      <c r="E71" s="2"/>
      <c r="F71" s="9"/>
      <c r="G71" s="8"/>
      <c r="H71" s="18">
        <v>0</v>
      </c>
      <c r="I71" s="18">
        <v>0</v>
      </c>
      <c r="J71" s="18">
        <v>0</v>
      </c>
      <c r="K71" s="18">
        <v>0</v>
      </c>
      <c r="L71" s="18"/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/>
      <c r="AD71" s="18"/>
      <c r="AE71" s="18"/>
      <c r="AF71" s="18"/>
      <c r="AG71" s="18"/>
      <c r="AH71" s="18">
        <v>0</v>
      </c>
      <c r="AI71" s="18">
        <f t="shared" si="3"/>
        <v>0</v>
      </c>
      <c r="AJ71" s="8"/>
    </row>
    <row r="72" spans="1:40" x14ac:dyDescent="0.3">
      <c r="A72" s="15">
        <v>22</v>
      </c>
      <c r="B72" s="226" t="s">
        <v>18</v>
      </c>
      <c r="C72" s="84" t="s">
        <v>46</v>
      </c>
      <c r="D72" s="1"/>
      <c r="E72" s="2"/>
      <c r="F72" s="9"/>
      <c r="G72" s="8"/>
      <c r="H72" s="18">
        <v>0</v>
      </c>
      <c r="I72" s="18">
        <v>0</v>
      </c>
      <c r="J72" s="18">
        <v>0</v>
      </c>
      <c r="K72" s="18">
        <v>0</v>
      </c>
      <c r="L72" s="18"/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/>
      <c r="AD72" s="18"/>
      <c r="AE72" s="18"/>
      <c r="AF72" s="18"/>
      <c r="AG72" s="18"/>
      <c r="AH72" s="18">
        <v>0</v>
      </c>
      <c r="AI72" s="18">
        <f t="shared" si="3"/>
        <v>0</v>
      </c>
      <c r="AJ72" s="8"/>
    </row>
    <row r="73" spans="1:40" x14ac:dyDescent="0.3">
      <c r="A73" s="15">
        <v>23</v>
      </c>
      <c r="B73" s="226" t="s">
        <v>18</v>
      </c>
      <c r="C73" s="84" t="s">
        <v>46</v>
      </c>
      <c r="D73" s="1"/>
      <c r="E73" s="2"/>
      <c r="F73" s="3"/>
      <c r="G73" s="1"/>
      <c r="H73" s="18">
        <v>0</v>
      </c>
      <c r="I73" s="18">
        <v>0</v>
      </c>
      <c r="J73" s="18">
        <v>0</v>
      </c>
      <c r="K73" s="18">
        <v>0</v>
      </c>
      <c r="L73" s="18"/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/>
      <c r="AD73" s="18"/>
      <c r="AE73" s="18"/>
      <c r="AF73" s="18"/>
      <c r="AG73" s="18"/>
      <c r="AH73" s="18">
        <v>0</v>
      </c>
      <c r="AI73" s="18">
        <f t="shared" si="3"/>
        <v>0</v>
      </c>
      <c r="AJ73" s="8"/>
    </row>
    <row r="74" spans="1:40" x14ac:dyDescent="0.3">
      <c r="A74" s="15">
        <v>24</v>
      </c>
      <c r="B74" s="226" t="s">
        <v>18</v>
      </c>
      <c r="C74" s="84" t="s">
        <v>46</v>
      </c>
      <c r="D74" s="1"/>
      <c r="E74" s="2"/>
      <c r="F74" s="3"/>
      <c r="G74" s="1"/>
      <c r="H74" s="18">
        <v>0</v>
      </c>
      <c r="I74" s="18">
        <v>0</v>
      </c>
      <c r="J74" s="18">
        <v>0</v>
      </c>
      <c r="K74" s="18">
        <v>0</v>
      </c>
      <c r="L74" s="18"/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/>
      <c r="AD74" s="18"/>
      <c r="AE74" s="18"/>
      <c r="AF74" s="18"/>
      <c r="AG74" s="18"/>
      <c r="AH74" s="18">
        <v>0</v>
      </c>
      <c r="AI74" s="18">
        <f t="shared" si="3"/>
        <v>0</v>
      </c>
      <c r="AJ74" s="8"/>
    </row>
    <row r="75" spans="1:40" x14ac:dyDescent="0.3">
      <c r="A75" s="15">
        <v>25</v>
      </c>
      <c r="B75" s="226" t="s">
        <v>18</v>
      </c>
      <c r="C75" s="84" t="s">
        <v>46</v>
      </c>
      <c r="D75" s="1"/>
      <c r="E75" s="7"/>
      <c r="F75" s="3"/>
      <c r="G75" s="1"/>
      <c r="H75" s="18">
        <v>0</v>
      </c>
      <c r="I75" s="18">
        <v>0</v>
      </c>
      <c r="J75" s="18">
        <v>0</v>
      </c>
      <c r="K75" s="18">
        <v>0</v>
      </c>
      <c r="L75" s="18"/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/>
      <c r="AD75" s="18"/>
      <c r="AE75" s="18"/>
      <c r="AF75" s="18"/>
      <c r="AG75" s="18"/>
      <c r="AH75" s="18">
        <v>0</v>
      </c>
      <c r="AI75" s="18">
        <f t="shared" si="3"/>
        <v>0</v>
      </c>
      <c r="AJ75" s="8"/>
    </row>
    <row r="76" spans="1:40" x14ac:dyDescent="0.3">
      <c r="A76" s="15">
        <v>26</v>
      </c>
      <c r="B76" s="226" t="s">
        <v>18</v>
      </c>
      <c r="C76" s="84" t="s">
        <v>46</v>
      </c>
      <c r="D76" s="1"/>
      <c r="E76" s="2"/>
      <c r="F76" s="9"/>
      <c r="G76" s="8"/>
      <c r="H76" s="18">
        <v>0</v>
      </c>
      <c r="I76" s="18">
        <v>0</v>
      </c>
      <c r="J76" s="18">
        <v>0</v>
      </c>
      <c r="K76" s="18">
        <v>0</v>
      </c>
      <c r="L76" s="18"/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/>
      <c r="AD76" s="18"/>
      <c r="AE76" s="18"/>
      <c r="AF76" s="18"/>
      <c r="AG76" s="18"/>
      <c r="AH76" s="18">
        <v>0</v>
      </c>
      <c r="AI76" s="18">
        <f t="shared" si="3"/>
        <v>0</v>
      </c>
      <c r="AJ76" s="8"/>
    </row>
    <row r="77" spans="1:40" s="87" customFormat="1" x14ac:dyDescent="0.3">
      <c r="A77" s="296" t="s">
        <v>47</v>
      </c>
      <c r="B77" s="296"/>
      <c r="C77" s="296"/>
      <c r="D77" s="296"/>
      <c r="E77" s="296"/>
      <c r="F77" s="296"/>
      <c r="G77" s="296"/>
      <c r="H77" s="231">
        <f>SUM(H51:H76)</f>
        <v>5000</v>
      </c>
      <c r="I77" s="231">
        <f t="shared" ref="I77:AA77" si="4">SUM(I51:I76)</f>
        <v>0</v>
      </c>
      <c r="J77" s="231">
        <f t="shared" si="4"/>
        <v>0</v>
      </c>
      <c r="K77" s="231">
        <f>SUM(K51:K76)</f>
        <v>0</v>
      </c>
      <c r="L77" s="231">
        <f>SUM(L51:L76)</f>
        <v>0</v>
      </c>
      <c r="M77" s="231">
        <f t="shared" si="4"/>
        <v>0</v>
      </c>
      <c r="N77" s="231">
        <f t="shared" si="4"/>
        <v>10000</v>
      </c>
      <c r="O77" s="231">
        <f t="shared" si="4"/>
        <v>0</v>
      </c>
      <c r="P77" s="231">
        <f t="shared" si="4"/>
        <v>10000</v>
      </c>
      <c r="Q77" s="231">
        <f t="shared" si="4"/>
        <v>5000</v>
      </c>
      <c r="R77" s="231">
        <f t="shared" si="4"/>
        <v>0</v>
      </c>
      <c r="S77" s="231">
        <f t="shared" si="4"/>
        <v>0</v>
      </c>
      <c r="T77" s="231">
        <f t="shared" si="4"/>
        <v>0</v>
      </c>
      <c r="U77" s="231">
        <f t="shared" si="4"/>
        <v>0</v>
      </c>
      <c r="V77" s="231">
        <f t="shared" si="4"/>
        <v>0</v>
      </c>
      <c r="W77" s="231">
        <f t="shared" si="4"/>
        <v>0</v>
      </c>
      <c r="X77" s="231">
        <f t="shared" si="4"/>
        <v>0</v>
      </c>
      <c r="Y77" s="231">
        <f t="shared" si="4"/>
        <v>0</v>
      </c>
      <c r="Z77" s="231">
        <f t="shared" si="4"/>
        <v>0</v>
      </c>
      <c r="AA77" s="231">
        <f t="shared" si="4"/>
        <v>0</v>
      </c>
      <c r="AB77" s="231">
        <f>SUM(AB51:AB76)</f>
        <v>0</v>
      </c>
      <c r="AC77" s="231">
        <f>SUM(AC51:AC76)</f>
        <v>0</v>
      </c>
      <c r="AD77" s="231">
        <f t="shared" ref="AD77:AH77" si="5">SUM(AD51:AD76)</f>
        <v>0</v>
      </c>
      <c r="AE77" s="231">
        <f t="shared" si="5"/>
        <v>0</v>
      </c>
      <c r="AF77" s="231">
        <f t="shared" si="5"/>
        <v>0</v>
      </c>
      <c r="AG77" s="231">
        <f t="shared" si="5"/>
        <v>0</v>
      </c>
      <c r="AH77" s="231">
        <f t="shared" si="5"/>
        <v>0</v>
      </c>
      <c r="AI77" s="231">
        <f>SUM(AI51:AI76)</f>
        <v>30000</v>
      </c>
      <c r="AJ77" s="232"/>
    </row>
    <row r="78" spans="1:40" x14ac:dyDescent="0.3">
      <c r="A78" s="15">
        <v>1</v>
      </c>
      <c r="B78" s="226" t="s">
        <v>17</v>
      </c>
      <c r="C78" s="84" t="s">
        <v>19</v>
      </c>
      <c r="D78" s="28"/>
      <c r="E78" s="82"/>
      <c r="F78" s="40"/>
      <c r="G78" s="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>
        <v>0</v>
      </c>
      <c r="AA78" s="18"/>
      <c r="AB78" s="18"/>
      <c r="AC78" s="18"/>
      <c r="AD78" s="18"/>
      <c r="AE78" s="18"/>
      <c r="AF78" s="18">
        <v>0</v>
      </c>
      <c r="AG78" s="18">
        <v>0</v>
      </c>
      <c r="AH78" s="18"/>
      <c r="AI78" s="16">
        <f t="shared" ref="AI78" si="6">SUM(H78:AH78)</f>
        <v>0</v>
      </c>
      <c r="AJ78" s="8"/>
    </row>
    <row r="79" spans="1:40" s="87" customFormat="1" x14ac:dyDescent="0.3">
      <c r="A79" s="296" t="s">
        <v>28</v>
      </c>
      <c r="B79" s="296"/>
      <c r="C79" s="296"/>
      <c r="D79" s="296"/>
      <c r="E79" s="296"/>
      <c r="F79" s="296"/>
      <c r="G79" s="296"/>
      <c r="H79" s="229">
        <f>SUM(H78:H78)</f>
        <v>0</v>
      </c>
      <c r="I79" s="229">
        <f>SUM(I78:I78)</f>
        <v>0</v>
      </c>
      <c r="J79" s="229">
        <f>SUM(J78:J78)</f>
        <v>0</v>
      </c>
      <c r="K79" s="229">
        <f>SUM(K78:K78)</f>
        <v>0</v>
      </c>
      <c r="L79" s="229">
        <f>SUM(L78:L78)</f>
        <v>0</v>
      </c>
      <c r="M79" s="229">
        <f t="shared" ref="M79:AG79" si="7">SUM(M78:M78)</f>
        <v>0</v>
      </c>
      <c r="N79" s="229">
        <f t="shared" si="7"/>
        <v>0</v>
      </c>
      <c r="O79" s="229">
        <f t="shared" si="7"/>
        <v>0</v>
      </c>
      <c r="P79" s="229">
        <f t="shared" si="7"/>
        <v>0</v>
      </c>
      <c r="Q79" s="229">
        <f t="shared" si="7"/>
        <v>0</v>
      </c>
      <c r="R79" s="229">
        <f t="shared" si="7"/>
        <v>0</v>
      </c>
      <c r="S79" s="229">
        <f t="shared" si="7"/>
        <v>0</v>
      </c>
      <c r="T79" s="229">
        <f t="shared" si="7"/>
        <v>0</v>
      </c>
      <c r="U79" s="229">
        <f t="shared" si="7"/>
        <v>0</v>
      </c>
      <c r="V79" s="229">
        <f t="shared" si="7"/>
        <v>0</v>
      </c>
      <c r="W79" s="229">
        <f t="shared" si="7"/>
        <v>0</v>
      </c>
      <c r="X79" s="229">
        <f t="shared" si="7"/>
        <v>0</v>
      </c>
      <c r="Y79" s="229">
        <f t="shared" si="7"/>
        <v>0</v>
      </c>
      <c r="Z79" s="229">
        <f t="shared" si="7"/>
        <v>0</v>
      </c>
      <c r="AA79" s="229">
        <f t="shared" si="7"/>
        <v>0</v>
      </c>
      <c r="AB79" s="229">
        <f t="shared" si="7"/>
        <v>0</v>
      </c>
      <c r="AC79" s="229">
        <f t="shared" si="7"/>
        <v>0</v>
      </c>
      <c r="AD79" s="229">
        <f t="shared" si="7"/>
        <v>0</v>
      </c>
      <c r="AE79" s="229">
        <f t="shared" si="7"/>
        <v>0</v>
      </c>
      <c r="AF79" s="229">
        <f t="shared" si="7"/>
        <v>0</v>
      </c>
      <c r="AG79" s="229">
        <f t="shared" si="7"/>
        <v>0</v>
      </c>
      <c r="AH79" s="229">
        <f>SUM(AH78:AH78)</f>
        <v>0</v>
      </c>
      <c r="AI79" s="229">
        <f>SUM(AI78:AI78)</f>
        <v>0</v>
      </c>
      <c r="AJ79" s="230"/>
    </row>
    <row r="80" spans="1:40" x14ac:dyDescent="0.3">
      <c r="A80" s="15">
        <v>1</v>
      </c>
      <c r="B80" s="226" t="s">
        <v>29</v>
      </c>
      <c r="C80" s="84" t="s">
        <v>30</v>
      </c>
      <c r="D80" s="1"/>
      <c r="E80" s="203">
        <v>46295</v>
      </c>
      <c r="F80" s="40" t="s">
        <v>215</v>
      </c>
      <c r="G80" s="8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>
        <v>75000</v>
      </c>
      <c r="AI80" s="21">
        <f t="shared" ref="AI80:AI111" si="8">SUM(H80:AH80)</f>
        <v>75000</v>
      </c>
      <c r="AJ80" s="20"/>
      <c r="AN80" s="10">
        <f>AI79+AI140+AI156+AI160+AI164+AI176+AI184+AI191</f>
        <v>1581988</v>
      </c>
    </row>
    <row r="81" spans="1:36" x14ac:dyDescent="0.3">
      <c r="A81" s="15">
        <v>2</v>
      </c>
      <c r="B81" s="226" t="s">
        <v>29</v>
      </c>
      <c r="C81" s="84" t="s">
        <v>30</v>
      </c>
      <c r="D81" s="1"/>
      <c r="E81" s="8" t="s">
        <v>239</v>
      </c>
      <c r="F81" s="8" t="s">
        <v>245</v>
      </c>
      <c r="G81" s="8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>
        <v>8313</v>
      </c>
      <c r="AI81" s="21">
        <f t="shared" si="8"/>
        <v>8313</v>
      </c>
      <c r="AJ81" s="8"/>
    </row>
    <row r="82" spans="1:36" x14ac:dyDescent="0.3">
      <c r="A82" s="15">
        <v>3</v>
      </c>
      <c r="B82" s="226" t="s">
        <v>29</v>
      </c>
      <c r="C82" s="84" t="s">
        <v>30</v>
      </c>
      <c r="D82" s="1"/>
      <c r="E82" s="8" t="s">
        <v>239</v>
      </c>
      <c r="F82" s="8" t="s">
        <v>246</v>
      </c>
      <c r="G82" s="8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>
        <v>500</v>
      </c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>
        <v>0</v>
      </c>
      <c r="AI82" s="21">
        <f t="shared" si="8"/>
        <v>500</v>
      </c>
      <c r="AJ82" s="8"/>
    </row>
    <row r="83" spans="1:36" x14ac:dyDescent="0.3">
      <c r="A83" s="15">
        <v>4</v>
      </c>
      <c r="B83" s="226" t="s">
        <v>29</v>
      </c>
      <c r="C83" s="84" t="s">
        <v>30</v>
      </c>
      <c r="D83" s="1"/>
      <c r="E83" s="8" t="s">
        <v>248</v>
      </c>
      <c r="F83" s="8" t="s">
        <v>249</v>
      </c>
      <c r="G83" s="8"/>
      <c r="H83" s="21"/>
      <c r="I83" s="21"/>
      <c r="J83" s="21"/>
      <c r="K83" s="21"/>
      <c r="L83" s="21"/>
      <c r="M83" s="21"/>
      <c r="N83" s="21"/>
      <c r="O83" s="21"/>
      <c r="P83" s="21">
        <v>188</v>
      </c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>
        <v>0</v>
      </c>
      <c r="AI83" s="21">
        <f t="shared" si="8"/>
        <v>188</v>
      </c>
      <c r="AJ83" s="8"/>
    </row>
    <row r="84" spans="1:36" x14ac:dyDescent="0.3">
      <c r="A84" s="15">
        <v>5</v>
      </c>
      <c r="B84" s="226" t="s">
        <v>29</v>
      </c>
      <c r="C84" s="84" t="s">
        <v>30</v>
      </c>
      <c r="D84" s="1"/>
      <c r="E84" s="8" t="s">
        <v>248</v>
      </c>
      <c r="F84" s="8" t="s">
        <v>253</v>
      </c>
      <c r="G84" s="20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>
        <v>400</v>
      </c>
      <c r="AA84" s="21"/>
      <c r="AB84" s="21"/>
      <c r="AC84" s="21"/>
      <c r="AD84" s="21"/>
      <c r="AE84" s="21"/>
      <c r="AF84" s="21"/>
      <c r="AG84" s="21"/>
      <c r="AH84" s="21">
        <v>0</v>
      </c>
      <c r="AI84" s="21">
        <f t="shared" si="8"/>
        <v>400</v>
      </c>
      <c r="AJ84" s="8"/>
    </row>
    <row r="85" spans="1:36" x14ac:dyDescent="0.3">
      <c r="A85" s="15">
        <v>6</v>
      </c>
      <c r="B85" s="226" t="s">
        <v>29</v>
      </c>
      <c r="C85" s="84" t="s">
        <v>30</v>
      </c>
      <c r="D85" s="8"/>
      <c r="E85" s="8" t="s">
        <v>261</v>
      </c>
      <c r="F85" s="8" t="s">
        <v>262</v>
      </c>
      <c r="G85" s="8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>
        <v>500</v>
      </c>
      <c r="AF85" s="21"/>
      <c r="AG85" s="21"/>
      <c r="AH85" s="21">
        <v>0</v>
      </c>
      <c r="AI85" s="21">
        <f t="shared" si="8"/>
        <v>500</v>
      </c>
      <c r="AJ85" s="8"/>
    </row>
    <row r="86" spans="1:36" x14ac:dyDescent="0.3">
      <c r="A86" s="15">
        <v>7</v>
      </c>
      <c r="B86" s="226" t="s">
        <v>29</v>
      </c>
      <c r="C86" s="84" t="s">
        <v>30</v>
      </c>
      <c r="D86" s="8"/>
      <c r="E86" s="8" t="s">
        <v>261</v>
      </c>
      <c r="F86" s="8" t="s">
        <v>263</v>
      </c>
      <c r="G86" s="20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>
        <v>300</v>
      </c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>
        <v>0</v>
      </c>
      <c r="AI86" s="21">
        <f t="shared" si="8"/>
        <v>300</v>
      </c>
      <c r="AJ86" s="8"/>
    </row>
    <row r="87" spans="1:36" x14ac:dyDescent="0.3">
      <c r="A87" s="15">
        <v>8</v>
      </c>
      <c r="B87" s="226" t="s">
        <v>29</v>
      </c>
      <c r="C87" s="84" t="s">
        <v>30</v>
      </c>
      <c r="D87" s="8"/>
      <c r="E87" s="8" t="s">
        <v>261</v>
      </c>
      <c r="F87" s="8" t="s">
        <v>264</v>
      </c>
      <c r="G87" s="20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>
        <v>350</v>
      </c>
      <c r="AF87" s="21"/>
      <c r="AG87" s="21"/>
      <c r="AH87" s="21">
        <v>0</v>
      </c>
      <c r="AI87" s="21">
        <f t="shared" si="8"/>
        <v>350</v>
      </c>
      <c r="AJ87" s="8"/>
    </row>
    <row r="88" spans="1:36" x14ac:dyDescent="0.3">
      <c r="A88" s="15">
        <v>9</v>
      </c>
      <c r="B88" s="226" t="s">
        <v>29</v>
      </c>
      <c r="C88" s="84" t="s">
        <v>30</v>
      </c>
      <c r="D88" s="8"/>
      <c r="E88" s="8" t="s">
        <v>261</v>
      </c>
      <c r="F88" s="8" t="s">
        <v>266</v>
      </c>
      <c r="G88" s="20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>
        <v>400</v>
      </c>
      <c r="AD88" s="21"/>
      <c r="AE88" s="21"/>
      <c r="AF88" s="21"/>
      <c r="AG88" s="21"/>
      <c r="AH88" s="21">
        <v>0</v>
      </c>
      <c r="AI88" s="21">
        <f t="shared" si="8"/>
        <v>400</v>
      </c>
      <c r="AJ88" s="8"/>
    </row>
    <row r="89" spans="1:36" x14ac:dyDescent="0.3">
      <c r="A89" s="15">
        <v>10</v>
      </c>
      <c r="B89" s="226" t="s">
        <v>29</v>
      </c>
      <c r="C89" s="84" t="s">
        <v>30</v>
      </c>
      <c r="D89" s="8"/>
      <c r="E89" s="8" t="s">
        <v>272</v>
      </c>
      <c r="F89" s="8" t="s">
        <v>273</v>
      </c>
      <c r="G89" s="20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>
        <v>760</v>
      </c>
      <c r="AI89" s="21">
        <f t="shared" si="8"/>
        <v>760</v>
      </c>
      <c r="AJ89" s="8"/>
    </row>
    <row r="90" spans="1:36" x14ac:dyDescent="0.3">
      <c r="A90" s="15">
        <v>11</v>
      </c>
      <c r="B90" s="226" t="s">
        <v>29</v>
      </c>
      <c r="C90" s="84" t="s">
        <v>30</v>
      </c>
      <c r="D90" s="8"/>
      <c r="E90" s="8" t="s">
        <v>276</v>
      </c>
      <c r="F90" s="8" t="s">
        <v>278</v>
      </c>
      <c r="G90" s="20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>
        <v>750</v>
      </c>
      <c r="AI90" s="21">
        <f t="shared" si="8"/>
        <v>750</v>
      </c>
      <c r="AJ90" s="8"/>
    </row>
    <row r="91" spans="1:36" x14ac:dyDescent="0.3">
      <c r="A91" s="15">
        <v>12</v>
      </c>
      <c r="B91" s="226" t="s">
        <v>29</v>
      </c>
      <c r="C91" s="84" t="s">
        <v>30</v>
      </c>
      <c r="D91" s="8"/>
      <c r="E91" s="8" t="s">
        <v>280</v>
      </c>
      <c r="F91" s="8" t="s">
        <v>281</v>
      </c>
      <c r="G91" s="20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>
        <v>520</v>
      </c>
      <c r="AG91" s="21"/>
      <c r="AH91" s="21">
        <v>0</v>
      </c>
      <c r="AI91" s="21">
        <f t="shared" si="8"/>
        <v>520</v>
      </c>
      <c r="AJ91" s="8"/>
    </row>
    <row r="92" spans="1:36" x14ac:dyDescent="0.3">
      <c r="A92" s="15">
        <v>13</v>
      </c>
      <c r="B92" s="226" t="s">
        <v>29</v>
      </c>
      <c r="C92" s="84" t="s">
        <v>30</v>
      </c>
      <c r="D92" s="8"/>
      <c r="E92" s="8" t="s">
        <v>282</v>
      </c>
      <c r="F92" s="8" t="s">
        <v>283</v>
      </c>
      <c r="G92" s="20"/>
      <c r="H92" s="21">
        <v>220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>
        <v>0</v>
      </c>
      <c r="AI92" s="21">
        <f t="shared" si="8"/>
        <v>220</v>
      </c>
      <c r="AJ92" s="8"/>
    </row>
    <row r="93" spans="1:36" x14ac:dyDescent="0.3">
      <c r="A93" s="15">
        <v>14</v>
      </c>
      <c r="B93" s="226" t="s">
        <v>29</v>
      </c>
      <c r="C93" s="84" t="s">
        <v>30</v>
      </c>
      <c r="D93" s="8"/>
      <c r="E93" s="8" t="s">
        <v>289</v>
      </c>
      <c r="F93" s="8" t="s">
        <v>290</v>
      </c>
      <c r="G93" s="20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>
        <v>5350</v>
      </c>
      <c r="AI93" s="21">
        <f t="shared" si="8"/>
        <v>5350</v>
      </c>
      <c r="AJ93" s="8"/>
    </row>
    <row r="94" spans="1:36" x14ac:dyDescent="0.3">
      <c r="A94" s="15">
        <v>15</v>
      </c>
      <c r="B94" s="226" t="s">
        <v>29</v>
      </c>
      <c r="C94" s="84" t="s">
        <v>30</v>
      </c>
      <c r="D94" s="8"/>
      <c r="E94" s="8" t="s">
        <v>297</v>
      </c>
      <c r="F94" s="8" t="s">
        <v>298</v>
      </c>
      <c r="G94" s="20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>
        <v>600</v>
      </c>
      <c r="AI94" s="21">
        <f t="shared" si="8"/>
        <v>600</v>
      </c>
      <c r="AJ94" s="8"/>
    </row>
    <row r="95" spans="1:36" x14ac:dyDescent="0.3">
      <c r="A95" s="15">
        <v>16</v>
      </c>
      <c r="B95" s="226" t="s">
        <v>29</v>
      </c>
      <c r="C95" s="84" t="s">
        <v>30</v>
      </c>
      <c r="D95" s="8"/>
      <c r="E95" s="66"/>
      <c r="F95" s="20"/>
      <c r="G95" s="20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>
        <v>0</v>
      </c>
      <c r="AI95" s="21">
        <f t="shared" si="8"/>
        <v>0</v>
      </c>
      <c r="AJ95" s="8"/>
    </row>
    <row r="96" spans="1:36" x14ac:dyDescent="0.3">
      <c r="A96" s="15">
        <v>17</v>
      </c>
      <c r="B96" s="226" t="s">
        <v>29</v>
      </c>
      <c r="C96" s="84" t="s">
        <v>30</v>
      </c>
      <c r="D96" s="8"/>
      <c r="E96" s="66"/>
      <c r="F96" s="20"/>
      <c r="G96" s="20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>
        <v>0</v>
      </c>
      <c r="AI96" s="21">
        <f t="shared" si="8"/>
        <v>0</v>
      </c>
      <c r="AJ96" s="8"/>
    </row>
    <row r="97" spans="1:36" x14ac:dyDescent="0.3">
      <c r="A97" s="15">
        <v>18</v>
      </c>
      <c r="B97" s="226" t="s">
        <v>29</v>
      </c>
      <c r="C97" s="84" t="s">
        <v>30</v>
      </c>
      <c r="D97" s="8"/>
      <c r="E97" s="29"/>
      <c r="F97" s="8"/>
      <c r="G97" s="8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>
        <v>0</v>
      </c>
      <c r="AI97" s="21">
        <f t="shared" si="8"/>
        <v>0</v>
      </c>
      <c r="AJ97" s="8"/>
    </row>
    <row r="98" spans="1:36" x14ac:dyDescent="0.3">
      <c r="A98" s="15">
        <v>19</v>
      </c>
      <c r="B98" s="226" t="s">
        <v>29</v>
      </c>
      <c r="C98" s="84" t="s">
        <v>30</v>
      </c>
      <c r="D98" s="8"/>
      <c r="E98" s="29"/>
      <c r="F98" s="8"/>
      <c r="G98" s="8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>
        <v>0</v>
      </c>
      <c r="AI98" s="21">
        <f t="shared" si="8"/>
        <v>0</v>
      </c>
      <c r="AJ98" s="8"/>
    </row>
    <row r="99" spans="1:36" x14ac:dyDescent="0.3">
      <c r="A99" s="15">
        <v>20</v>
      </c>
      <c r="B99" s="226" t="s">
        <v>29</v>
      </c>
      <c r="C99" s="84" t="s">
        <v>30</v>
      </c>
      <c r="D99" s="8"/>
      <c r="E99" s="66"/>
      <c r="F99" s="8"/>
      <c r="G99" s="20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>
        <v>0</v>
      </c>
      <c r="AI99" s="21">
        <f t="shared" si="8"/>
        <v>0</v>
      </c>
      <c r="AJ99" s="8"/>
    </row>
    <row r="100" spans="1:36" x14ac:dyDescent="0.3">
      <c r="A100" s="15">
        <v>21</v>
      </c>
      <c r="B100" s="226" t="s">
        <v>29</v>
      </c>
      <c r="C100" s="84" t="s">
        <v>30</v>
      </c>
      <c r="D100" s="8"/>
      <c r="E100" s="203"/>
      <c r="F100" s="40"/>
      <c r="G100" s="8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>
        <v>0</v>
      </c>
      <c r="AI100" s="21">
        <f t="shared" si="8"/>
        <v>0</v>
      </c>
      <c r="AJ100" s="8"/>
    </row>
    <row r="101" spans="1:36" x14ac:dyDescent="0.3">
      <c r="A101" s="15">
        <v>22</v>
      </c>
      <c r="B101" s="226" t="s">
        <v>29</v>
      </c>
      <c r="C101" s="84" t="s">
        <v>30</v>
      </c>
      <c r="D101" s="8"/>
      <c r="E101" s="63"/>
      <c r="F101" s="8"/>
      <c r="G101" s="8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>
        <v>0</v>
      </c>
      <c r="AI101" s="21">
        <f t="shared" si="8"/>
        <v>0</v>
      </c>
      <c r="AJ101" s="8"/>
    </row>
    <row r="102" spans="1:36" x14ac:dyDescent="0.3">
      <c r="A102" s="15">
        <v>23</v>
      </c>
      <c r="B102" s="226" t="s">
        <v>29</v>
      </c>
      <c r="C102" s="84" t="s">
        <v>30</v>
      </c>
      <c r="D102" s="8"/>
      <c r="E102" s="63"/>
      <c r="F102" s="8"/>
      <c r="G102" s="8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>
        <v>0</v>
      </c>
      <c r="AI102" s="21">
        <f t="shared" si="8"/>
        <v>0</v>
      </c>
      <c r="AJ102" s="8"/>
    </row>
    <row r="103" spans="1:36" x14ac:dyDescent="0.3">
      <c r="A103" s="15">
        <v>24</v>
      </c>
      <c r="B103" s="226" t="s">
        <v>29</v>
      </c>
      <c r="C103" s="84" t="s">
        <v>30</v>
      </c>
      <c r="D103" s="8"/>
      <c r="E103" s="63"/>
      <c r="F103" s="8"/>
      <c r="G103" s="8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>
        <v>0</v>
      </c>
      <c r="AI103" s="21">
        <f t="shared" si="8"/>
        <v>0</v>
      </c>
      <c r="AJ103" s="8"/>
    </row>
    <row r="104" spans="1:36" x14ac:dyDescent="0.3">
      <c r="A104" s="15">
        <v>25</v>
      </c>
      <c r="B104" s="226" t="s">
        <v>29</v>
      </c>
      <c r="C104" s="84" t="s">
        <v>30</v>
      </c>
      <c r="D104" s="8"/>
      <c r="E104" s="63"/>
      <c r="F104" s="8"/>
      <c r="G104" s="8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>
        <v>0</v>
      </c>
      <c r="AI104" s="21">
        <f t="shared" si="8"/>
        <v>0</v>
      </c>
      <c r="AJ104" s="8"/>
    </row>
    <row r="105" spans="1:36" x14ac:dyDescent="0.3">
      <c r="A105" s="15">
        <v>26</v>
      </c>
      <c r="B105" s="226" t="s">
        <v>29</v>
      </c>
      <c r="C105" s="84" t="s">
        <v>30</v>
      </c>
      <c r="D105" s="8"/>
      <c r="E105" s="63"/>
      <c r="F105" s="8"/>
      <c r="G105" s="8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>
        <v>0</v>
      </c>
      <c r="AI105" s="21">
        <f t="shared" si="8"/>
        <v>0</v>
      </c>
      <c r="AJ105" s="8"/>
    </row>
    <row r="106" spans="1:36" x14ac:dyDescent="0.3">
      <c r="A106" s="15">
        <v>27</v>
      </c>
      <c r="B106" s="226" t="s">
        <v>29</v>
      </c>
      <c r="C106" s="84" t="s">
        <v>30</v>
      </c>
      <c r="D106" s="8"/>
      <c r="E106" s="63"/>
      <c r="F106" s="8"/>
      <c r="G106" s="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>
        <v>0</v>
      </c>
      <c r="AI106" s="21">
        <f t="shared" si="8"/>
        <v>0</v>
      </c>
      <c r="AJ106" s="8"/>
    </row>
    <row r="107" spans="1:36" x14ac:dyDescent="0.3">
      <c r="A107" s="15">
        <v>28</v>
      </c>
      <c r="B107" s="226" t="s">
        <v>29</v>
      </c>
      <c r="C107" s="84" t="s">
        <v>30</v>
      </c>
      <c r="D107" s="8"/>
      <c r="E107" s="63"/>
      <c r="F107" s="8"/>
      <c r="G107" s="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>
        <v>0</v>
      </c>
      <c r="AI107" s="21">
        <f t="shared" si="8"/>
        <v>0</v>
      </c>
      <c r="AJ107" s="8"/>
    </row>
    <row r="108" spans="1:36" x14ac:dyDescent="0.3">
      <c r="A108" s="15">
        <v>29</v>
      </c>
      <c r="B108" s="226" t="s">
        <v>29</v>
      </c>
      <c r="C108" s="84" t="s">
        <v>30</v>
      </c>
      <c r="D108" s="8"/>
      <c r="E108" s="63"/>
      <c r="F108" s="8"/>
      <c r="G108" s="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>
        <v>0</v>
      </c>
      <c r="AI108" s="21">
        <f t="shared" si="8"/>
        <v>0</v>
      </c>
      <c r="AJ108" s="8"/>
    </row>
    <row r="109" spans="1:36" x14ac:dyDescent="0.3">
      <c r="A109" s="15">
        <v>30</v>
      </c>
      <c r="B109" s="226" t="s">
        <v>29</v>
      </c>
      <c r="C109" s="84" t="s">
        <v>30</v>
      </c>
      <c r="D109" s="8"/>
      <c r="E109" s="63"/>
      <c r="F109" s="8"/>
      <c r="G109" s="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>
        <v>0</v>
      </c>
      <c r="AI109" s="21">
        <f t="shared" si="8"/>
        <v>0</v>
      </c>
      <c r="AJ109" s="8"/>
    </row>
    <row r="110" spans="1:36" x14ac:dyDescent="0.3">
      <c r="A110" s="15">
        <v>31</v>
      </c>
      <c r="B110" s="226" t="s">
        <v>29</v>
      </c>
      <c r="C110" s="84" t="s">
        <v>30</v>
      </c>
      <c r="D110" s="8"/>
      <c r="E110" s="63"/>
      <c r="F110" s="8"/>
      <c r="G110" s="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>
        <v>0</v>
      </c>
      <c r="AI110" s="21">
        <f t="shared" si="8"/>
        <v>0</v>
      </c>
      <c r="AJ110" s="8"/>
    </row>
    <row r="111" spans="1:36" x14ac:dyDescent="0.3">
      <c r="A111" s="15">
        <v>32</v>
      </c>
      <c r="B111" s="226" t="s">
        <v>29</v>
      </c>
      <c r="C111" s="84" t="s">
        <v>30</v>
      </c>
      <c r="D111" s="8"/>
      <c r="E111" s="63"/>
      <c r="F111" s="8"/>
      <c r="G111" s="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>
        <v>0</v>
      </c>
      <c r="AI111" s="21">
        <f t="shared" si="8"/>
        <v>0</v>
      </c>
      <c r="AJ111" s="8"/>
    </row>
    <row r="112" spans="1:36" x14ac:dyDescent="0.3">
      <c r="A112" s="15">
        <v>33</v>
      </c>
      <c r="B112" s="226" t="s">
        <v>29</v>
      </c>
      <c r="C112" s="84" t="s">
        <v>30</v>
      </c>
      <c r="D112" s="8"/>
      <c r="E112" s="63"/>
      <c r="F112" s="8"/>
      <c r="G112" s="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>
        <v>0</v>
      </c>
      <c r="AI112" s="21">
        <f t="shared" ref="AI112:AI139" si="9">SUM(H112:AH112)</f>
        <v>0</v>
      </c>
      <c r="AJ112" s="8"/>
    </row>
    <row r="113" spans="1:36" x14ac:dyDescent="0.3">
      <c r="A113" s="15">
        <v>34</v>
      </c>
      <c r="B113" s="226" t="s">
        <v>29</v>
      </c>
      <c r="C113" s="84" t="s">
        <v>30</v>
      </c>
      <c r="D113" s="8"/>
      <c r="E113" s="63"/>
      <c r="F113" s="8"/>
      <c r="G113" s="8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>
        <v>0</v>
      </c>
      <c r="AI113" s="21">
        <f t="shared" si="9"/>
        <v>0</v>
      </c>
      <c r="AJ113" s="18"/>
    </row>
    <row r="114" spans="1:36" x14ac:dyDescent="0.3">
      <c r="A114" s="15">
        <v>35</v>
      </c>
      <c r="B114" s="226" t="s">
        <v>29</v>
      </c>
      <c r="C114" s="84" t="s">
        <v>30</v>
      </c>
      <c r="D114" s="8"/>
      <c r="E114" s="13"/>
      <c r="F114" s="8"/>
      <c r="G114" s="8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>
        <v>0</v>
      </c>
      <c r="AI114" s="21">
        <f t="shared" si="9"/>
        <v>0</v>
      </c>
      <c r="AJ114" s="8"/>
    </row>
    <row r="115" spans="1:36" x14ac:dyDescent="0.3">
      <c r="A115" s="15">
        <v>36</v>
      </c>
      <c r="B115" s="226" t="s">
        <v>29</v>
      </c>
      <c r="C115" s="84" t="s">
        <v>30</v>
      </c>
      <c r="D115" s="8"/>
      <c r="E115" s="13"/>
      <c r="F115" s="8"/>
      <c r="G115" s="8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>
        <v>0</v>
      </c>
      <c r="AI115" s="21">
        <f t="shared" si="9"/>
        <v>0</v>
      </c>
      <c r="AJ115" s="8"/>
    </row>
    <row r="116" spans="1:36" x14ac:dyDescent="0.3">
      <c r="A116" s="15">
        <v>37</v>
      </c>
      <c r="B116" s="226" t="s">
        <v>29</v>
      </c>
      <c r="C116" s="84" t="s">
        <v>30</v>
      </c>
      <c r="D116" s="8"/>
      <c r="E116" s="13"/>
      <c r="F116" s="8"/>
      <c r="G116" s="8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>
        <v>0</v>
      </c>
      <c r="AI116" s="21">
        <f t="shared" si="9"/>
        <v>0</v>
      </c>
      <c r="AJ116" s="8"/>
    </row>
    <row r="117" spans="1:36" x14ac:dyDescent="0.3">
      <c r="A117" s="15">
        <v>38</v>
      </c>
      <c r="B117" s="226" t="s">
        <v>29</v>
      </c>
      <c r="C117" s="84" t="s">
        <v>30</v>
      </c>
      <c r="D117" s="8"/>
      <c r="E117" s="13"/>
      <c r="F117" s="8"/>
      <c r="G117" s="8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>
        <v>0</v>
      </c>
      <c r="AI117" s="21">
        <f t="shared" si="9"/>
        <v>0</v>
      </c>
      <c r="AJ117" s="8"/>
    </row>
    <row r="118" spans="1:36" x14ac:dyDescent="0.3">
      <c r="A118" s="15">
        <v>39</v>
      </c>
      <c r="B118" s="226" t="s">
        <v>29</v>
      </c>
      <c r="C118" s="84" t="s">
        <v>30</v>
      </c>
      <c r="D118" s="8"/>
      <c r="E118" s="13"/>
      <c r="F118" s="8"/>
      <c r="G118" s="8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>
        <v>0</v>
      </c>
      <c r="AI118" s="21">
        <f t="shared" si="9"/>
        <v>0</v>
      </c>
      <c r="AJ118" s="8"/>
    </row>
    <row r="119" spans="1:36" x14ac:dyDescent="0.3">
      <c r="A119" s="15">
        <v>40</v>
      </c>
      <c r="B119" s="226" t="s">
        <v>29</v>
      </c>
      <c r="C119" s="84" t="s">
        <v>30</v>
      </c>
      <c r="D119" s="8"/>
      <c r="E119" s="13"/>
      <c r="F119" s="8"/>
      <c r="G119" s="8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>
        <v>0</v>
      </c>
      <c r="AI119" s="21">
        <f t="shared" si="9"/>
        <v>0</v>
      </c>
      <c r="AJ119" s="8"/>
    </row>
    <row r="120" spans="1:36" x14ac:dyDescent="0.3">
      <c r="A120" s="15">
        <v>41</v>
      </c>
      <c r="B120" s="226" t="s">
        <v>29</v>
      </c>
      <c r="C120" s="84" t="s">
        <v>30</v>
      </c>
      <c r="D120" s="8"/>
      <c r="E120" s="13"/>
      <c r="F120" s="8"/>
      <c r="G120" s="8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>
        <f t="shared" si="9"/>
        <v>0</v>
      </c>
      <c r="AJ120" s="8"/>
    </row>
    <row r="121" spans="1:36" x14ac:dyDescent="0.3">
      <c r="A121" s="15">
        <v>42</v>
      </c>
      <c r="B121" s="226" t="s">
        <v>29</v>
      </c>
      <c r="C121" s="84" t="s">
        <v>30</v>
      </c>
      <c r="D121" s="8"/>
      <c r="E121" s="13"/>
      <c r="F121" s="8"/>
      <c r="G121" s="8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>
        <f t="shared" si="9"/>
        <v>0</v>
      </c>
      <c r="AJ121" s="8"/>
    </row>
    <row r="122" spans="1:36" x14ac:dyDescent="0.3">
      <c r="A122" s="15">
        <v>43</v>
      </c>
      <c r="B122" s="226" t="s">
        <v>29</v>
      </c>
      <c r="C122" s="84" t="s">
        <v>30</v>
      </c>
      <c r="D122" s="8"/>
      <c r="E122" s="13"/>
      <c r="F122" s="8"/>
      <c r="G122" s="8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>
        <f t="shared" si="9"/>
        <v>0</v>
      </c>
      <c r="AJ122" s="8"/>
    </row>
    <row r="123" spans="1:36" x14ac:dyDescent="0.3">
      <c r="A123" s="15">
        <v>44</v>
      </c>
      <c r="B123" s="226" t="s">
        <v>29</v>
      </c>
      <c r="C123" s="84" t="s">
        <v>30</v>
      </c>
      <c r="D123" s="8"/>
      <c r="E123" s="13"/>
      <c r="F123" s="8"/>
      <c r="G123" s="8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>
        <f t="shared" si="9"/>
        <v>0</v>
      </c>
      <c r="AJ123" s="8"/>
    </row>
    <row r="124" spans="1:36" x14ac:dyDescent="0.3">
      <c r="A124" s="15">
        <v>45</v>
      </c>
      <c r="B124" s="226" t="s">
        <v>29</v>
      </c>
      <c r="C124" s="84" t="s">
        <v>30</v>
      </c>
      <c r="D124" s="8"/>
      <c r="E124" s="13"/>
      <c r="F124" s="8"/>
      <c r="G124" s="8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>
        <f t="shared" si="9"/>
        <v>0</v>
      </c>
      <c r="AJ124" s="8"/>
    </row>
    <row r="125" spans="1:36" x14ac:dyDescent="0.3">
      <c r="A125" s="15">
        <v>46</v>
      </c>
      <c r="B125" s="226" t="s">
        <v>29</v>
      </c>
      <c r="C125" s="84" t="s">
        <v>30</v>
      </c>
      <c r="D125" s="8"/>
      <c r="E125" s="13"/>
      <c r="F125" s="8"/>
      <c r="G125" s="8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>
        <f t="shared" si="9"/>
        <v>0</v>
      </c>
      <c r="AJ125" s="8"/>
    </row>
    <row r="126" spans="1:36" x14ac:dyDescent="0.3">
      <c r="A126" s="15">
        <v>47</v>
      </c>
      <c r="B126" s="226" t="s">
        <v>29</v>
      </c>
      <c r="C126" s="84" t="s">
        <v>30</v>
      </c>
      <c r="D126" s="8"/>
      <c r="E126" s="13"/>
      <c r="F126" s="8"/>
      <c r="G126" s="8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>
        <f t="shared" si="9"/>
        <v>0</v>
      </c>
      <c r="AJ126" s="8"/>
    </row>
    <row r="127" spans="1:36" x14ac:dyDescent="0.3">
      <c r="A127" s="15">
        <v>48</v>
      </c>
      <c r="B127" s="226" t="s">
        <v>29</v>
      </c>
      <c r="C127" s="84" t="s">
        <v>30</v>
      </c>
      <c r="D127" s="8"/>
      <c r="E127" s="13"/>
      <c r="F127" s="8"/>
      <c r="G127" s="8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>
        <f t="shared" si="9"/>
        <v>0</v>
      </c>
      <c r="AJ127" s="8"/>
    </row>
    <row r="128" spans="1:36" x14ac:dyDescent="0.3">
      <c r="A128" s="15">
        <v>49</v>
      </c>
      <c r="B128" s="226" t="s">
        <v>29</v>
      </c>
      <c r="C128" s="84" t="s">
        <v>30</v>
      </c>
      <c r="D128" s="8"/>
      <c r="E128" s="13"/>
      <c r="F128" s="8"/>
      <c r="G128" s="8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>
        <v>0</v>
      </c>
      <c r="AI128" s="21">
        <f t="shared" si="9"/>
        <v>0</v>
      </c>
      <c r="AJ128" s="8"/>
    </row>
    <row r="129" spans="1:36" x14ac:dyDescent="0.3">
      <c r="A129" s="15">
        <v>50</v>
      </c>
      <c r="B129" s="226" t="s">
        <v>29</v>
      </c>
      <c r="C129" s="84" t="s">
        <v>30</v>
      </c>
      <c r="D129" s="8"/>
      <c r="E129" s="13"/>
      <c r="F129" s="8"/>
      <c r="G129" s="8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>
        <v>0</v>
      </c>
      <c r="AI129" s="21">
        <f t="shared" si="9"/>
        <v>0</v>
      </c>
      <c r="AJ129" s="8"/>
    </row>
    <row r="130" spans="1:36" x14ac:dyDescent="0.3">
      <c r="A130" s="15">
        <v>51</v>
      </c>
      <c r="B130" s="226" t="s">
        <v>29</v>
      </c>
      <c r="C130" s="84" t="s">
        <v>30</v>
      </c>
      <c r="D130" s="8"/>
      <c r="E130" s="13"/>
      <c r="F130" s="8"/>
      <c r="G130" s="8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>
        <v>0</v>
      </c>
      <c r="AI130" s="21">
        <f t="shared" si="9"/>
        <v>0</v>
      </c>
      <c r="AJ130" s="8"/>
    </row>
    <row r="131" spans="1:36" x14ac:dyDescent="0.3">
      <c r="A131" s="15">
        <v>52</v>
      </c>
      <c r="B131" s="226" t="s">
        <v>29</v>
      </c>
      <c r="C131" s="84" t="s">
        <v>30</v>
      </c>
      <c r="D131" s="8"/>
      <c r="E131" s="13"/>
      <c r="F131" s="8"/>
      <c r="G131" s="8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>
        <v>0</v>
      </c>
      <c r="AI131" s="21">
        <f t="shared" si="9"/>
        <v>0</v>
      </c>
      <c r="AJ131" s="8"/>
    </row>
    <row r="132" spans="1:36" x14ac:dyDescent="0.3">
      <c r="A132" s="15">
        <v>53</v>
      </c>
      <c r="B132" s="226" t="s">
        <v>29</v>
      </c>
      <c r="C132" s="84" t="s">
        <v>30</v>
      </c>
      <c r="D132" s="8"/>
      <c r="E132" s="13"/>
      <c r="F132" s="8"/>
      <c r="G132" s="8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>
        <v>0</v>
      </c>
      <c r="AI132" s="21">
        <f t="shared" si="9"/>
        <v>0</v>
      </c>
      <c r="AJ132" s="8"/>
    </row>
    <row r="133" spans="1:36" x14ac:dyDescent="0.3">
      <c r="A133" s="15">
        <v>54</v>
      </c>
      <c r="B133" s="226" t="s">
        <v>29</v>
      </c>
      <c r="C133" s="84" t="s">
        <v>30</v>
      </c>
      <c r="D133" s="8"/>
      <c r="E133" s="13"/>
      <c r="F133" s="8"/>
      <c r="G133" s="8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>
        <v>0</v>
      </c>
      <c r="AI133" s="21"/>
      <c r="AJ133" s="8"/>
    </row>
    <row r="134" spans="1:36" x14ac:dyDescent="0.3">
      <c r="A134" s="15">
        <v>55</v>
      </c>
      <c r="B134" s="226" t="s">
        <v>29</v>
      </c>
      <c r="C134" s="84" t="s">
        <v>30</v>
      </c>
      <c r="D134" s="8"/>
      <c r="E134" s="13"/>
      <c r="F134" s="8"/>
      <c r="G134" s="8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>
        <v>0</v>
      </c>
      <c r="AI134" s="21"/>
      <c r="AJ134" s="8"/>
    </row>
    <row r="135" spans="1:36" x14ac:dyDescent="0.3">
      <c r="A135" s="15">
        <v>56</v>
      </c>
      <c r="B135" s="226" t="s">
        <v>29</v>
      </c>
      <c r="C135" s="84" t="s">
        <v>30</v>
      </c>
      <c r="D135" s="8"/>
      <c r="E135" s="13"/>
      <c r="F135" s="8"/>
      <c r="G135" s="8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>
        <v>0</v>
      </c>
      <c r="AI135" s="21"/>
      <c r="AJ135" s="8"/>
    </row>
    <row r="136" spans="1:36" x14ac:dyDescent="0.3">
      <c r="A136" s="15">
        <v>57</v>
      </c>
      <c r="B136" s="226" t="s">
        <v>29</v>
      </c>
      <c r="C136" s="84" t="s">
        <v>30</v>
      </c>
      <c r="D136" s="8"/>
      <c r="E136" s="13"/>
      <c r="F136" s="8"/>
      <c r="G136" s="8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>
        <v>0</v>
      </c>
      <c r="AI136" s="21"/>
      <c r="AJ136" s="8"/>
    </row>
    <row r="137" spans="1:36" x14ac:dyDescent="0.3">
      <c r="A137" s="15">
        <v>58</v>
      </c>
      <c r="B137" s="226" t="s">
        <v>29</v>
      </c>
      <c r="C137" s="84" t="s">
        <v>30</v>
      </c>
      <c r="D137" s="8"/>
      <c r="E137" s="13"/>
      <c r="F137" s="8"/>
      <c r="G137" s="8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>
        <v>0</v>
      </c>
      <c r="AI137" s="21"/>
      <c r="AJ137" s="8"/>
    </row>
    <row r="138" spans="1:36" x14ac:dyDescent="0.3">
      <c r="A138" s="15">
        <v>59</v>
      </c>
      <c r="B138" s="226" t="s">
        <v>29</v>
      </c>
      <c r="C138" s="84" t="s">
        <v>30</v>
      </c>
      <c r="D138" s="8"/>
      <c r="E138" s="13"/>
      <c r="F138" s="8"/>
      <c r="G138" s="8"/>
      <c r="H138" s="21">
        <v>0</v>
      </c>
      <c r="I138" s="21">
        <v>0</v>
      </c>
      <c r="J138" s="21">
        <v>0</v>
      </c>
      <c r="K138" s="21">
        <v>0</v>
      </c>
      <c r="L138" s="21"/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/>
      <c r="AD138" s="21"/>
      <c r="AE138" s="21"/>
      <c r="AF138" s="21"/>
      <c r="AG138" s="21"/>
      <c r="AH138" s="21">
        <v>0</v>
      </c>
      <c r="AI138" s="21">
        <f t="shared" si="9"/>
        <v>0</v>
      </c>
      <c r="AJ138" s="8"/>
    </row>
    <row r="139" spans="1:36" x14ac:dyDescent="0.3">
      <c r="A139" s="15">
        <v>60</v>
      </c>
      <c r="B139" s="226" t="s">
        <v>29</v>
      </c>
      <c r="C139" s="84" t="s">
        <v>30</v>
      </c>
      <c r="D139" s="8"/>
      <c r="E139" s="13"/>
      <c r="F139" s="8"/>
      <c r="G139" s="8"/>
      <c r="H139" s="21">
        <v>0</v>
      </c>
      <c r="I139" s="21">
        <v>0</v>
      </c>
      <c r="J139" s="21">
        <v>0</v>
      </c>
      <c r="K139" s="21">
        <v>0</v>
      </c>
      <c r="L139" s="21"/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/>
      <c r="AD139" s="21"/>
      <c r="AE139" s="21"/>
      <c r="AF139" s="21"/>
      <c r="AG139" s="21"/>
      <c r="AH139" s="21">
        <v>0</v>
      </c>
      <c r="AI139" s="21">
        <f t="shared" si="9"/>
        <v>0</v>
      </c>
      <c r="AJ139" s="8"/>
    </row>
    <row r="140" spans="1:36" s="87" customFormat="1" x14ac:dyDescent="0.3">
      <c r="A140" s="296" t="s">
        <v>31</v>
      </c>
      <c r="B140" s="296"/>
      <c r="C140" s="296"/>
      <c r="D140" s="296"/>
      <c r="E140" s="296"/>
      <c r="F140" s="296"/>
      <c r="G140" s="296"/>
      <c r="H140" s="231">
        <f>SUM(H80:H139)</f>
        <v>220</v>
      </c>
      <c r="I140" s="231">
        <f t="shared" ref="I140:AG140" si="10">SUM(I80:I139)</f>
        <v>0</v>
      </c>
      <c r="J140" s="231">
        <f t="shared" si="10"/>
        <v>0</v>
      </c>
      <c r="K140" s="231">
        <f t="shared" si="10"/>
        <v>0</v>
      </c>
      <c r="L140" s="231">
        <f t="shared" si="10"/>
        <v>0</v>
      </c>
      <c r="M140" s="231">
        <f t="shared" si="10"/>
        <v>0</v>
      </c>
      <c r="N140" s="231">
        <f t="shared" si="10"/>
        <v>0</v>
      </c>
      <c r="O140" s="231">
        <f t="shared" si="10"/>
        <v>0</v>
      </c>
      <c r="P140" s="231">
        <f t="shared" si="10"/>
        <v>188</v>
      </c>
      <c r="Q140" s="231">
        <f t="shared" si="10"/>
        <v>0</v>
      </c>
      <c r="R140" s="231">
        <f t="shared" si="10"/>
        <v>0</v>
      </c>
      <c r="S140" s="231">
        <f t="shared" si="10"/>
        <v>0</v>
      </c>
      <c r="T140" s="231">
        <f t="shared" si="10"/>
        <v>0</v>
      </c>
      <c r="U140" s="231">
        <f t="shared" si="10"/>
        <v>800</v>
      </c>
      <c r="V140" s="231">
        <f t="shared" si="10"/>
        <v>0</v>
      </c>
      <c r="W140" s="231">
        <f t="shared" si="10"/>
        <v>0</v>
      </c>
      <c r="X140" s="231">
        <f t="shared" si="10"/>
        <v>0</v>
      </c>
      <c r="Y140" s="231">
        <f t="shared" si="10"/>
        <v>0</v>
      </c>
      <c r="Z140" s="231">
        <f t="shared" si="10"/>
        <v>400</v>
      </c>
      <c r="AA140" s="231">
        <f t="shared" si="10"/>
        <v>0</v>
      </c>
      <c r="AB140" s="231">
        <f t="shared" si="10"/>
        <v>0</v>
      </c>
      <c r="AC140" s="231">
        <f t="shared" si="10"/>
        <v>400</v>
      </c>
      <c r="AD140" s="231">
        <f t="shared" si="10"/>
        <v>0</v>
      </c>
      <c r="AE140" s="231">
        <f t="shared" si="10"/>
        <v>850</v>
      </c>
      <c r="AF140" s="231">
        <f t="shared" si="10"/>
        <v>520</v>
      </c>
      <c r="AG140" s="231">
        <f t="shared" si="10"/>
        <v>0</v>
      </c>
      <c r="AH140" s="231">
        <f>SUM(AH80:AH139)</f>
        <v>90773</v>
      </c>
      <c r="AI140" s="231">
        <f>SUM(AI80:AI139)</f>
        <v>94151</v>
      </c>
      <c r="AJ140" s="232"/>
    </row>
    <row r="141" spans="1:36" x14ac:dyDescent="0.3">
      <c r="A141" s="15">
        <v>1</v>
      </c>
      <c r="B141" s="226" t="s">
        <v>29</v>
      </c>
      <c r="C141" s="84" t="s">
        <v>32</v>
      </c>
      <c r="D141" s="8"/>
      <c r="E141" s="8" t="s">
        <v>239</v>
      </c>
      <c r="F141" s="8" t="s">
        <v>243</v>
      </c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>
        <v>1140</v>
      </c>
      <c r="AI141" s="5">
        <f t="shared" ref="AI141:AI145" si="11">SUM(H141:AH141)</f>
        <v>1140</v>
      </c>
      <c r="AJ141" s="8"/>
    </row>
    <row r="142" spans="1:36" x14ac:dyDescent="0.3">
      <c r="A142" s="15">
        <v>2</v>
      </c>
      <c r="B142" s="226" t="s">
        <v>29</v>
      </c>
      <c r="C142" s="84" t="s">
        <v>32</v>
      </c>
      <c r="D142" s="8"/>
      <c r="E142" s="8" t="s">
        <v>248</v>
      </c>
      <c r="F142" s="8" t="s">
        <v>250</v>
      </c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>
        <v>700</v>
      </c>
      <c r="AI142" s="5">
        <f t="shared" si="11"/>
        <v>700</v>
      </c>
      <c r="AJ142" s="8"/>
    </row>
    <row r="143" spans="1:36" x14ac:dyDescent="0.3">
      <c r="A143" s="15">
        <v>3</v>
      </c>
      <c r="B143" s="226" t="s">
        <v>29</v>
      </c>
      <c r="C143" s="84" t="s">
        <v>32</v>
      </c>
      <c r="D143" s="8"/>
      <c r="E143" s="8" t="s">
        <v>248</v>
      </c>
      <c r="F143" s="8" t="s">
        <v>251</v>
      </c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>
        <v>480</v>
      </c>
      <c r="AI143" s="5">
        <f t="shared" si="11"/>
        <v>480</v>
      </c>
      <c r="AJ143" s="8"/>
    </row>
    <row r="144" spans="1:36" x14ac:dyDescent="0.3">
      <c r="A144" s="15">
        <v>4</v>
      </c>
      <c r="B144" s="226" t="s">
        <v>29</v>
      </c>
      <c r="C144" s="84" t="s">
        <v>32</v>
      </c>
      <c r="D144" s="8"/>
      <c r="E144" s="8" t="s">
        <v>248</v>
      </c>
      <c r="F144" s="8" t="s">
        <v>252</v>
      </c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>
        <v>515</v>
      </c>
      <c r="AI144" s="5">
        <f t="shared" si="11"/>
        <v>515</v>
      </c>
      <c r="AJ144" s="8"/>
    </row>
    <row r="145" spans="1:36" x14ac:dyDescent="0.3">
      <c r="A145" s="15">
        <v>5</v>
      </c>
      <c r="B145" s="226" t="s">
        <v>29</v>
      </c>
      <c r="C145" s="84" t="s">
        <v>32</v>
      </c>
      <c r="D145" s="8"/>
      <c r="E145" s="8" t="s">
        <v>254</v>
      </c>
      <c r="F145" s="8" t="s">
        <v>255</v>
      </c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>
        <v>1000</v>
      </c>
      <c r="AI145" s="5">
        <f t="shared" si="11"/>
        <v>1000</v>
      </c>
      <c r="AJ145" s="8"/>
    </row>
    <row r="146" spans="1:36" x14ac:dyDescent="0.3">
      <c r="A146" s="15">
        <v>6</v>
      </c>
      <c r="B146" s="226" t="s">
        <v>29</v>
      </c>
      <c r="C146" s="84" t="s">
        <v>32</v>
      </c>
      <c r="D146" s="8"/>
      <c r="E146" s="8" t="s">
        <v>258</v>
      </c>
      <c r="F146" s="8" t="s">
        <v>260</v>
      </c>
      <c r="G146" s="20"/>
      <c r="H146" s="5"/>
      <c r="I146" s="5"/>
      <c r="J146" s="5"/>
      <c r="K146" s="5"/>
      <c r="L146" s="5"/>
      <c r="M146" s="5"/>
      <c r="N146" s="5"/>
      <c r="O146" s="5"/>
      <c r="P146" s="5">
        <v>400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>
        <v>0</v>
      </c>
      <c r="AI146" s="5">
        <f>SUM(H146:AH146)</f>
        <v>400</v>
      </c>
      <c r="AJ146" s="8"/>
    </row>
    <row r="147" spans="1:36" x14ac:dyDescent="0.3">
      <c r="A147" s="15">
        <v>7</v>
      </c>
      <c r="B147" s="226" t="s">
        <v>29</v>
      </c>
      <c r="C147" s="84" t="s">
        <v>32</v>
      </c>
      <c r="D147" s="8"/>
      <c r="E147" s="8" t="s">
        <v>261</v>
      </c>
      <c r="F147" s="8" t="s">
        <v>265</v>
      </c>
      <c r="G147" s="20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>
        <v>1100</v>
      </c>
      <c r="AD147" s="5"/>
      <c r="AE147" s="5"/>
      <c r="AF147" s="5"/>
      <c r="AG147" s="5"/>
      <c r="AH147" s="5">
        <v>0</v>
      </c>
      <c r="AI147" s="5">
        <f>SUM(H147:AH147)</f>
        <v>1100</v>
      </c>
      <c r="AJ147" s="8"/>
    </row>
    <row r="148" spans="1:36" x14ac:dyDescent="0.3">
      <c r="A148" s="15">
        <v>8</v>
      </c>
      <c r="B148" s="226" t="s">
        <v>29</v>
      </c>
      <c r="C148" s="84" t="s">
        <v>32</v>
      </c>
      <c r="D148" s="8"/>
      <c r="E148" s="8" t="s">
        <v>274</v>
      </c>
      <c r="F148" s="8" t="s">
        <v>275</v>
      </c>
      <c r="G148" s="20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>
        <v>285</v>
      </c>
      <c r="AI148" s="5">
        <f t="shared" ref="AI148:AI155" si="12">SUM(H148:AH148)</f>
        <v>285</v>
      </c>
      <c r="AJ148" s="8"/>
    </row>
    <row r="149" spans="1:36" x14ac:dyDescent="0.3">
      <c r="A149" s="15">
        <v>9</v>
      </c>
      <c r="B149" s="226" t="s">
        <v>29</v>
      </c>
      <c r="C149" s="84" t="s">
        <v>32</v>
      </c>
      <c r="D149" s="8"/>
      <c r="E149" s="8" t="s">
        <v>284</v>
      </c>
      <c r="F149" s="8" t="s">
        <v>285</v>
      </c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>
        <v>290</v>
      </c>
      <c r="AI149" s="5">
        <f t="shared" si="12"/>
        <v>290</v>
      </c>
      <c r="AJ149" s="8"/>
    </row>
    <row r="150" spans="1:36" x14ac:dyDescent="0.3">
      <c r="A150" s="15">
        <v>10</v>
      </c>
      <c r="B150" s="226" t="s">
        <v>29</v>
      </c>
      <c r="C150" s="84" t="s">
        <v>32</v>
      </c>
      <c r="D150" s="8"/>
      <c r="E150" s="8" t="s">
        <v>286</v>
      </c>
      <c r="F150" s="8" t="s">
        <v>287</v>
      </c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>
        <v>600</v>
      </c>
      <c r="AI150" s="5">
        <f t="shared" si="12"/>
        <v>600</v>
      </c>
      <c r="AJ150" s="8"/>
    </row>
    <row r="151" spans="1:36" x14ac:dyDescent="0.3">
      <c r="A151" s="15">
        <v>11</v>
      </c>
      <c r="B151" s="226" t="s">
        <v>29</v>
      </c>
      <c r="C151" s="84" t="s">
        <v>32</v>
      </c>
      <c r="D151" s="8"/>
      <c r="E151" s="8" t="s">
        <v>286</v>
      </c>
      <c r="F151" s="8" t="s">
        <v>288</v>
      </c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>
        <v>1160</v>
      </c>
      <c r="AI151" s="5">
        <f t="shared" si="12"/>
        <v>1160</v>
      </c>
      <c r="AJ151" s="8"/>
    </row>
    <row r="152" spans="1:36" x14ac:dyDescent="0.3">
      <c r="A152" s="15">
        <v>12</v>
      </c>
      <c r="B152" s="226" t="s">
        <v>29</v>
      </c>
      <c r="C152" s="84" t="s">
        <v>32</v>
      </c>
      <c r="D152" s="8"/>
      <c r="E152" s="8" t="s">
        <v>291</v>
      </c>
      <c r="F152" s="8" t="s">
        <v>294</v>
      </c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>
        <v>460</v>
      </c>
      <c r="AI152" s="5">
        <f t="shared" si="12"/>
        <v>460</v>
      </c>
      <c r="AJ152" s="8"/>
    </row>
    <row r="153" spans="1:36" x14ac:dyDescent="0.3">
      <c r="A153" s="15">
        <v>13</v>
      </c>
      <c r="B153" s="226" t="s">
        <v>29</v>
      </c>
      <c r="C153" s="84" t="s">
        <v>32</v>
      </c>
      <c r="D153" s="8"/>
      <c r="E153" s="8" t="s">
        <v>291</v>
      </c>
      <c r="F153" s="8" t="s">
        <v>294</v>
      </c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>
        <v>230</v>
      </c>
      <c r="AI153" s="5">
        <f t="shared" si="12"/>
        <v>230</v>
      </c>
      <c r="AJ153" s="8"/>
    </row>
    <row r="154" spans="1:36" x14ac:dyDescent="0.3">
      <c r="A154" s="15">
        <v>14</v>
      </c>
      <c r="B154" s="226" t="s">
        <v>29</v>
      </c>
      <c r="C154" s="84" t="s">
        <v>32</v>
      </c>
      <c r="D154" s="8"/>
      <c r="E154" s="8" t="s">
        <v>300</v>
      </c>
      <c r="F154" s="8" t="s">
        <v>301</v>
      </c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>
        <v>2470</v>
      </c>
      <c r="AI154" s="5">
        <f t="shared" si="12"/>
        <v>2470</v>
      </c>
      <c r="AJ154" s="8"/>
    </row>
    <row r="155" spans="1:36" x14ac:dyDescent="0.3">
      <c r="A155" s="15">
        <v>15</v>
      </c>
      <c r="B155" s="226" t="s">
        <v>29</v>
      </c>
      <c r="C155" s="84" t="s">
        <v>32</v>
      </c>
      <c r="D155" s="8"/>
      <c r="E155" s="13"/>
      <c r="F155" s="8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>
        <v>0</v>
      </c>
      <c r="AI155" s="5">
        <f t="shared" si="12"/>
        <v>0</v>
      </c>
      <c r="AJ155" s="8"/>
    </row>
    <row r="156" spans="1:36" s="87" customFormat="1" x14ac:dyDescent="0.3">
      <c r="A156" s="296" t="s">
        <v>33</v>
      </c>
      <c r="B156" s="296"/>
      <c r="C156" s="296"/>
      <c r="D156" s="296"/>
      <c r="E156" s="296"/>
      <c r="F156" s="296"/>
      <c r="G156" s="296"/>
      <c r="H156" s="231">
        <f>SUM(H141:H155)</f>
        <v>0</v>
      </c>
      <c r="I156" s="231">
        <f t="shared" ref="I156:Y156" si="13">SUM(I141:I155)</f>
        <v>0</v>
      </c>
      <c r="J156" s="231">
        <f t="shared" si="13"/>
        <v>0</v>
      </c>
      <c r="K156" s="231">
        <f t="shared" si="13"/>
        <v>0</v>
      </c>
      <c r="L156" s="231">
        <f t="shared" si="13"/>
        <v>0</v>
      </c>
      <c r="M156" s="231">
        <f t="shared" si="13"/>
        <v>0</v>
      </c>
      <c r="N156" s="231">
        <f t="shared" si="13"/>
        <v>0</v>
      </c>
      <c r="O156" s="231">
        <f t="shared" si="13"/>
        <v>0</v>
      </c>
      <c r="P156" s="231">
        <f t="shared" si="13"/>
        <v>400</v>
      </c>
      <c r="Q156" s="231">
        <f t="shared" si="13"/>
        <v>0</v>
      </c>
      <c r="R156" s="231">
        <f t="shared" si="13"/>
        <v>0</v>
      </c>
      <c r="S156" s="231">
        <f t="shared" si="13"/>
        <v>0</v>
      </c>
      <c r="T156" s="231">
        <f t="shared" si="13"/>
        <v>0</v>
      </c>
      <c r="U156" s="231">
        <f t="shared" si="13"/>
        <v>0</v>
      </c>
      <c r="V156" s="231">
        <f t="shared" si="13"/>
        <v>0</v>
      </c>
      <c r="W156" s="231">
        <f t="shared" si="13"/>
        <v>0</v>
      </c>
      <c r="X156" s="231">
        <f>SUM(X141:X155)</f>
        <v>0</v>
      </c>
      <c r="Y156" s="231">
        <f t="shared" si="13"/>
        <v>0</v>
      </c>
      <c r="Z156" s="231">
        <f t="shared" ref="Z156" si="14">SUM(Z141:Z155)</f>
        <v>0</v>
      </c>
      <c r="AA156" s="231">
        <f t="shared" ref="AA156" si="15">SUM(AA141:AA155)</f>
        <v>0</v>
      </c>
      <c r="AB156" s="231">
        <f t="shared" ref="AB156" si="16">SUM(AB141:AB155)</f>
        <v>0</v>
      </c>
      <c r="AC156" s="231">
        <f t="shared" ref="AC156:AG156" si="17">SUM(AC141:AC155)</f>
        <v>1100</v>
      </c>
      <c r="AD156" s="231">
        <f t="shared" si="17"/>
        <v>0</v>
      </c>
      <c r="AE156" s="231">
        <f t="shared" si="17"/>
        <v>0</v>
      </c>
      <c r="AF156" s="231">
        <f t="shared" si="17"/>
        <v>0</v>
      </c>
      <c r="AG156" s="231">
        <f t="shared" si="17"/>
        <v>0</v>
      </c>
      <c r="AH156" s="231">
        <f t="shared" ref="AH156" si="18">SUM(AH141:AH155)</f>
        <v>9330</v>
      </c>
      <c r="AI156" s="231">
        <f t="shared" ref="AI156" si="19">SUM(AI141:AI155)</f>
        <v>10830</v>
      </c>
      <c r="AJ156" s="232"/>
    </row>
    <row r="157" spans="1:36" x14ac:dyDescent="0.3">
      <c r="A157" s="15">
        <v>1</v>
      </c>
      <c r="B157" s="226" t="s">
        <v>29</v>
      </c>
      <c r="C157" s="84" t="s">
        <v>34</v>
      </c>
      <c r="D157" s="8"/>
      <c r="E157" s="29">
        <v>46287</v>
      </c>
      <c r="F157" s="8" t="s">
        <v>194</v>
      </c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>
        <v>5180</v>
      </c>
      <c r="AI157" s="5">
        <f t="shared" ref="AI157:AI159" si="20">SUM(H157:AH157)</f>
        <v>5180</v>
      </c>
      <c r="AJ157" s="8"/>
    </row>
    <row r="158" spans="1:36" x14ac:dyDescent="0.3">
      <c r="A158" s="15">
        <v>2</v>
      </c>
      <c r="B158" s="226" t="s">
        <v>29</v>
      </c>
      <c r="C158" s="84" t="s">
        <v>34</v>
      </c>
      <c r="D158" s="8"/>
      <c r="E158" s="203">
        <v>46289</v>
      </c>
      <c r="F158" s="223" t="s">
        <v>204</v>
      </c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>
        <v>2500</v>
      </c>
      <c r="AI158" s="5">
        <f t="shared" si="20"/>
        <v>2500</v>
      </c>
      <c r="AJ158" s="8"/>
    </row>
    <row r="159" spans="1:36" x14ac:dyDescent="0.3">
      <c r="A159" s="15">
        <v>3</v>
      </c>
      <c r="B159" s="226" t="s">
        <v>29</v>
      </c>
      <c r="C159" s="84" t="s">
        <v>34</v>
      </c>
      <c r="D159" s="8"/>
      <c r="E159" s="66"/>
      <c r="F159" s="20"/>
      <c r="G159" s="20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>
        <v>0</v>
      </c>
      <c r="AI159" s="5">
        <f t="shared" si="20"/>
        <v>0</v>
      </c>
      <c r="AJ159" s="8"/>
    </row>
    <row r="160" spans="1:36" s="87" customFormat="1" x14ac:dyDescent="0.3">
      <c r="A160" s="296" t="s">
        <v>35</v>
      </c>
      <c r="B160" s="296"/>
      <c r="C160" s="296"/>
      <c r="D160" s="296"/>
      <c r="E160" s="296"/>
      <c r="F160" s="296"/>
      <c r="G160" s="296"/>
      <c r="H160" s="231">
        <f>SUM(H157:H159)</f>
        <v>0</v>
      </c>
      <c r="I160" s="231">
        <f>SUM(I157:I159)</f>
        <v>0</v>
      </c>
      <c r="J160" s="231">
        <f>SUM(J157:J159)</f>
        <v>0</v>
      </c>
      <c r="K160" s="231">
        <f>SUM(K157:K159)</f>
        <v>0</v>
      </c>
      <c r="L160" s="231">
        <f>SUM(L157:L159)</f>
        <v>0</v>
      </c>
      <c r="M160" s="231">
        <f t="shared" ref="M160:AI160" si="21">SUM(M157:M159)</f>
        <v>0</v>
      </c>
      <c r="N160" s="231">
        <f t="shared" si="21"/>
        <v>0</v>
      </c>
      <c r="O160" s="231">
        <f t="shared" si="21"/>
        <v>0</v>
      </c>
      <c r="P160" s="231">
        <f t="shared" si="21"/>
        <v>0</v>
      </c>
      <c r="Q160" s="231">
        <f t="shared" si="21"/>
        <v>0</v>
      </c>
      <c r="R160" s="231">
        <f t="shared" si="21"/>
        <v>0</v>
      </c>
      <c r="S160" s="231">
        <f t="shared" si="21"/>
        <v>0</v>
      </c>
      <c r="T160" s="231">
        <f t="shared" si="21"/>
        <v>0</v>
      </c>
      <c r="U160" s="231">
        <f t="shared" si="21"/>
        <v>0</v>
      </c>
      <c r="V160" s="231">
        <f t="shared" si="21"/>
        <v>0</v>
      </c>
      <c r="W160" s="231">
        <f t="shared" si="21"/>
        <v>0</v>
      </c>
      <c r="X160" s="231">
        <f t="shared" si="21"/>
        <v>0</v>
      </c>
      <c r="Y160" s="231">
        <f t="shared" si="21"/>
        <v>0</v>
      </c>
      <c r="Z160" s="231">
        <f t="shared" si="21"/>
        <v>0</v>
      </c>
      <c r="AA160" s="231">
        <f t="shared" si="21"/>
        <v>0</v>
      </c>
      <c r="AB160" s="231">
        <f t="shared" si="21"/>
        <v>0</v>
      </c>
      <c r="AC160" s="231">
        <f t="shared" si="21"/>
        <v>0</v>
      </c>
      <c r="AD160" s="231">
        <f t="shared" si="21"/>
        <v>0</v>
      </c>
      <c r="AE160" s="231">
        <f t="shared" si="21"/>
        <v>0</v>
      </c>
      <c r="AF160" s="231">
        <f t="shared" si="21"/>
        <v>0</v>
      </c>
      <c r="AG160" s="231">
        <f t="shared" si="21"/>
        <v>0</v>
      </c>
      <c r="AH160" s="231">
        <f t="shared" si="21"/>
        <v>7680</v>
      </c>
      <c r="AI160" s="231">
        <f t="shared" si="21"/>
        <v>7680</v>
      </c>
      <c r="AJ160" s="232"/>
    </row>
    <row r="161" spans="1:36" x14ac:dyDescent="0.3">
      <c r="A161" s="15">
        <v>1</v>
      </c>
      <c r="B161" s="226" t="s">
        <v>29</v>
      </c>
      <c r="C161" s="84" t="s">
        <v>39</v>
      </c>
      <c r="D161" s="1"/>
      <c r="E161" s="66"/>
      <c r="F161" s="20"/>
      <c r="G161" s="20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>
        <v>0</v>
      </c>
      <c r="AG161" s="5">
        <v>0</v>
      </c>
      <c r="AH161" s="5">
        <v>0</v>
      </c>
      <c r="AI161" s="5">
        <f>SUM(H161:AH161)</f>
        <v>0</v>
      </c>
      <c r="AJ161" s="8"/>
    </row>
    <row r="162" spans="1:36" x14ac:dyDescent="0.3">
      <c r="A162" s="15">
        <v>1</v>
      </c>
      <c r="B162" s="226" t="s">
        <v>29</v>
      </c>
      <c r="C162" s="84" t="s">
        <v>39</v>
      </c>
      <c r="D162" s="1"/>
      <c r="E162" s="79"/>
      <c r="F162" s="3"/>
      <c r="G162" s="1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>
        <v>0</v>
      </c>
      <c r="AI162" s="5">
        <f>SUM(H162:AH162)</f>
        <v>0</v>
      </c>
      <c r="AJ162" s="8"/>
    </row>
    <row r="163" spans="1:36" x14ac:dyDescent="0.3">
      <c r="A163" s="15">
        <v>2</v>
      </c>
      <c r="B163" s="226" t="s">
        <v>29</v>
      </c>
      <c r="C163" s="84" t="s">
        <v>39</v>
      </c>
      <c r="D163" s="1"/>
      <c r="E163" s="66"/>
      <c r="F163" s="20"/>
      <c r="G163" s="20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>
        <v>0</v>
      </c>
      <c r="AI163" s="5">
        <f>SUM(H163:AH163)</f>
        <v>0</v>
      </c>
      <c r="AJ163" s="8"/>
    </row>
    <row r="164" spans="1:36" s="87" customFormat="1" x14ac:dyDescent="0.3">
      <c r="A164" s="296" t="s">
        <v>40</v>
      </c>
      <c r="B164" s="296"/>
      <c r="C164" s="296"/>
      <c r="D164" s="296"/>
      <c r="E164" s="296"/>
      <c r="F164" s="296"/>
      <c r="G164" s="296"/>
      <c r="H164" s="231">
        <f>SUM(H161:H163)</f>
        <v>0</v>
      </c>
      <c r="I164" s="231">
        <f t="shared" ref="I164:AI164" si="22">SUM(I161:I163)</f>
        <v>0</v>
      </c>
      <c r="J164" s="231">
        <f t="shared" si="22"/>
        <v>0</v>
      </c>
      <c r="K164" s="231">
        <f t="shared" si="22"/>
        <v>0</v>
      </c>
      <c r="L164" s="231">
        <f t="shared" si="22"/>
        <v>0</v>
      </c>
      <c r="M164" s="231">
        <f t="shared" si="22"/>
        <v>0</v>
      </c>
      <c r="N164" s="231">
        <f t="shared" si="22"/>
        <v>0</v>
      </c>
      <c r="O164" s="231">
        <f t="shared" si="22"/>
        <v>0</v>
      </c>
      <c r="P164" s="231">
        <f t="shared" si="22"/>
        <v>0</v>
      </c>
      <c r="Q164" s="231">
        <f t="shared" si="22"/>
        <v>0</v>
      </c>
      <c r="R164" s="231">
        <f t="shared" si="22"/>
        <v>0</v>
      </c>
      <c r="S164" s="231">
        <f t="shared" si="22"/>
        <v>0</v>
      </c>
      <c r="T164" s="231">
        <f t="shared" si="22"/>
        <v>0</v>
      </c>
      <c r="U164" s="231">
        <f t="shared" si="22"/>
        <v>0</v>
      </c>
      <c r="V164" s="231">
        <f t="shared" si="22"/>
        <v>0</v>
      </c>
      <c r="W164" s="231">
        <f t="shared" si="22"/>
        <v>0</v>
      </c>
      <c r="X164" s="231">
        <f t="shared" si="22"/>
        <v>0</v>
      </c>
      <c r="Y164" s="231">
        <f t="shared" si="22"/>
        <v>0</v>
      </c>
      <c r="Z164" s="231">
        <f t="shared" si="22"/>
        <v>0</v>
      </c>
      <c r="AA164" s="231">
        <f t="shared" si="22"/>
        <v>0</v>
      </c>
      <c r="AB164" s="231">
        <f t="shared" si="22"/>
        <v>0</v>
      </c>
      <c r="AC164" s="231">
        <f t="shared" si="22"/>
        <v>0</v>
      </c>
      <c r="AD164" s="231">
        <f t="shared" si="22"/>
        <v>0</v>
      </c>
      <c r="AE164" s="231">
        <f t="shared" si="22"/>
        <v>0</v>
      </c>
      <c r="AF164" s="231">
        <f t="shared" si="22"/>
        <v>0</v>
      </c>
      <c r="AG164" s="231">
        <f t="shared" si="22"/>
        <v>0</v>
      </c>
      <c r="AH164" s="231">
        <f t="shared" si="22"/>
        <v>0</v>
      </c>
      <c r="AI164" s="231">
        <f t="shared" si="22"/>
        <v>0</v>
      </c>
      <c r="AJ164" s="232"/>
    </row>
    <row r="165" spans="1:36" x14ac:dyDescent="0.3">
      <c r="A165" s="15">
        <v>1</v>
      </c>
      <c r="B165" s="226" t="s">
        <v>41</v>
      </c>
      <c r="C165" s="84" t="s">
        <v>109</v>
      </c>
      <c r="D165" s="1"/>
      <c r="E165" s="203">
        <v>46287</v>
      </c>
      <c r="F165" s="20" t="s">
        <v>109</v>
      </c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>
        <v>60500</v>
      </c>
      <c r="AI165" s="5">
        <f t="shared" ref="AI165:AI175" si="23">SUM(H165:AH165)</f>
        <v>60500</v>
      </c>
      <c r="AJ165" s="8"/>
    </row>
    <row r="166" spans="1:36" x14ac:dyDescent="0.3">
      <c r="A166" s="15">
        <v>2</v>
      </c>
      <c r="B166" s="226" t="s">
        <v>41</v>
      </c>
      <c r="C166" s="84" t="s">
        <v>85</v>
      </c>
      <c r="D166" s="1"/>
      <c r="E166" s="203" t="s">
        <v>270</v>
      </c>
      <c r="F166" s="18" t="s">
        <v>271</v>
      </c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>
        <v>96000</v>
      </c>
      <c r="AI166" s="5">
        <f t="shared" ref="AI166" si="24">SUM(H166:AH166)</f>
        <v>96000</v>
      </c>
      <c r="AJ166" s="8"/>
    </row>
    <row r="167" spans="1:36" x14ac:dyDescent="0.3">
      <c r="A167" s="15">
        <v>3</v>
      </c>
      <c r="B167" s="226" t="s">
        <v>41</v>
      </c>
      <c r="C167" s="84" t="s">
        <v>111</v>
      </c>
      <c r="D167" s="1"/>
      <c r="E167" s="203">
        <v>46286</v>
      </c>
      <c r="F167" s="40" t="s">
        <v>185</v>
      </c>
      <c r="G167" s="3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>
        <v>227585</v>
      </c>
      <c r="AI167" s="5">
        <f t="shared" si="23"/>
        <v>227585</v>
      </c>
      <c r="AJ167" s="8"/>
    </row>
    <row r="168" spans="1:36" x14ac:dyDescent="0.3">
      <c r="A168" s="15">
        <v>4</v>
      </c>
      <c r="B168" s="226" t="s">
        <v>41</v>
      </c>
      <c r="C168" s="84" t="s">
        <v>78</v>
      </c>
      <c r="D168" s="1"/>
      <c r="E168" s="203"/>
      <c r="F168" s="40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>
        <v>0</v>
      </c>
      <c r="AI168" s="5">
        <f t="shared" si="23"/>
        <v>0</v>
      </c>
      <c r="AJ168" s="8"/>
    </row>
    <row r="169" spans="1:36" x14ac:dyDescent="0.3">
      <c r="A169" s="15">
        <v>5</v>
      </c>
      <c r="B169" s="226" t="s">
        <v>41</v>
      </c>
      <c r="C169" s="84" t="s">
        <v>50</v>
      </c>
      <c r="D169" s="8"/>
      <c r="E169" s="13"/>
      <c r="F169" s="8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>
        <v>0</v>
      </c>
      <c r="AI169" s="5">
        <f t="shared" si="23"/>
        <v>0</v>
      </c>
      <c r="AJ169" s="8"/>
    </row>
    <row r="170" spans="1:36" x14ac:dyDescent="0.3">
      <c r="A170" s="15">
        <v>6</v>
      </c>
      <c r="B170" s="226" t="s">
        <v>41</v>
      </c>
      <c r="C170" s="84" t="s">
        <v>124</v>
      </c>
      <c r="D170" s="8"/>
      <c r="E170" s="29"/>
      <c r="F170" s="8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>
        <v>0</v>
      </c>
      <c r="AI170" s="5">
        <f t="shared" si="23"/>
        <v>0</v>
      </c>
      <c r="AJ170" s="8"/>
    </row>
    <row r="171" spans="1:36" x14ac:dyDescent="0.3">
      <c r="A171" s="15">
        <v>7</v>
      </c>
      <c r="B171" s="226" t="s">
        <v>41</v>
      </c>
      <c r="C171" s="84" t="s">
        <v>74</v>
      </c>
      <c r="D171" s="8"/>
      <c r="E171" s="13"/>
      <c r="F171" s="8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>
        <v>0</v>
      </c>
      <c r="AI171" s="5">
        <f t="shared" si="23"/>
        <v>0</v>
      </c>
      <c r="AJ171" s="8"/>
    </row>
    <row r="172" spans="1:36" x14ac:dyDescent="0.3">
      <c r="A172" s="15">
        <v>8</v>
      </c>
      <c r="B172" s="226" t="s">
        <v>41</v>
      </c>
      <c r="C172" s="84" t="s">
        <v>42</v>
      </c>
      <c r="D172" s="8"/>
      <c r="E172" s="203">
        <v>46279</v>
      </c>
      <c r="F172" s="8" t="s">
        <v>134</v>
      </c>
      <c r="G172" s="20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>
        <v>266500</v>
      </c>
      <c r="AI172" s="5">
        <f t="shared" si="23"/>
        <v>266500</v>
      </c>
      <c r="AJ172" s="8"/>
    </row>
    <row r="173" spans="1:36" x14ac:dyDescent="0.3">
      <c r="A173" s="15">
        <v>9</v>
      </c>
      <c r="B173" s="226" t="s">
        <v>41</v>
      </c>
      <c r="C173" s="84" t="s">
        <v>115</v>
      </c>
      <c r="D173" s="8"/>
      <c r="E173" s="66"/>
      <c r="F173" s="20"/>
      <c r="G173" s="20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>
        <v>0</v>
      </c>
      <c r="AI173" s="5">
        <f t="shared" si="23"/>
        <v>0</v>
      </c>
      <c r="AJ173" s="8"/>
    </row>
    <row r="174" spans="1:36" x14ac:dyDescent="0.3">
      <c r="A174" s="15">
        <v>10</v>
      </c>
      <c r="B174" s="226" t="s">
        <v>41</v>
      </c>
      <c r="C174" s="84" t="s">
        <v>39</v>
      </c>
      <c r="D174" s="8"/>
      <c r="E174" s="66">
        <v>46287</v>
      </c>
      <c r="F174" s="20" t="s">
        <v>193</v>
      </c>
      <c r="G174" s="20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>
        <v>3300</v>
      </c>
      <c r="AI174" s="5">
        <f t="shared" si="23"/>
        <v>3300</v>
      </c>
      <c r="AJ174" s="8"/>
    </row>
    <row r="175" spans="1:36" x14ac:dyDescent="0.3">
      <c r="A175" s="15">
        <v>11</v>
      </c>
      <c r="B175" s="226" t="s">
        <v>41</v>
      </c>
      <c r="C175" s="84" t="s">
        <v>81</v>
      </c>
      <c r="D175" s="8"/>
      <c r="E175" s="8" t="s">
        <v>276</v>
      </c>
      <c r="F175" s="8" t="s">
        <v>277</v>
      </c>
      <c r="G175" s="2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>
        <v>3860</v>
      </c>
      <c r="AI175" s="5">
        <f t="shared" si="23"/>
        <v>3860</v>
      </c>
      <c r="AJ175" s="8"/>
    </row>
    <row r="176" spans="1:36" s="87" customFormat="1" x14ac:dyDescent="0.3">
      <c r="A176" s="296" t="s">
        <v>82</v>
      </c>
      <c r="B176" s="296"/>
      <c r="C176" s="296"/>
      <c r="D176" s="296"/>
      <c r="E176" s="296"/>
      <c r="F176" s="296"/>
      <c r="G176" s="296"/>
      <c r="H176" s="231">
        <f>SUM(H165:H175)</f>
        <v>0</v>
      </c>
      <c r="I176" s="231">
        <f>SUM(I165:I175)</f>
        <v>0</v>
      </c>
      <c r="J176" s="231">
        <f>SUM(J165:J175)</f>
        <v>0</v>
      </c>
      <c r="K176" s="231">
        <f>SUM(K165:K175)</f>
        <v>0</v>
      </c>
      <c r="L176" s="231">
        <f>SUM(L165:L175)</f>
        <v>0</v>
      </c>
      <c r="M176" s="231">
        <f t="shared" ref="M176:AI176" si="25">SUM(M165:M175)</f>
        <v>0</v>
      </c>
      <c r="N176" s="231">
        <f t="shared" si="25"/>
        <v>0</v>
      </c>
      <c r="O176" s="231">
        <f t="shared" si="25"/>
        <v>0</v>
      </c>
      <c r="P176" s="231">
        <f t="shared" si="25"/>
        <v>0</v>
      </c>
      <c r="Q176" s="231">
        <f t="shared" si="25"/>
        <v>0</v>
      </c>
      <c r="R176" s="231">
        <f t="shared" si="25"/>
        <v>0</v>
      </c>
      <c r="S176" s="231">
        <f t="shared" si="25"/>
        <v>0</v>
      </c>
      <c r="T176" s="231">
        <f t="shared" si="25"/>
        <v>0</v>
      </c>
      <c r="U176" s="231">
        <f t="shared" si="25"/>
        <v>0</v>
      </c>
      <c r="V176" s="231">
        <f t="shared" si="25"/>
        <v>0</v>
      </c>
      <c r="W176" s="231">
        <f t="shared" si="25"/>
        <v>0</v>
      </c>
      <c r="X176" s="231">
        <f t="shared" si="25"/>
        <v>0</v>
      </c>
      <c r="Y176" s="231">
        <f t="shared" si="25"/>
        <v>0</v>
      </c>
      <c r="Z176" s="231">
        <f t="shared" si="25"/>
        <v>0</v>
      </c>
      <c r="AA176" s="231">
        <f t="shared" si="25"/>
        <v>0</v>
      </c>
      <c r="AB176" s="231">
        <f t="shared" si="25"/>
        <v>0</v>
      </c>
      <c r="AC176" s="231">
        <f t="shared" si="25"/>
        <v>0</v>
      </c>
      <c r="AD176" s="231">
        <f t="shared" si="25"/>
        <v>0</v>
      </c>
      <c r="AE176" s="231">
        <f t="shared" si="25"/>
        <v>0</v>
      </c>
      <c r="AF176" s="231">
        <f t="shared" si="25"/>
        <v>0</v>
      </c>
      <c r="AG176" s="231">
        <f t="shared" si="25"/>
        <v>0</v>
      </c>
      <c r="AH176" s="231">
        <f t="shared" si="25"/>
        <v>657745</v>
      </c>
      <c r="AI176" s="231">
        <f t="shared" si="25"/>
        <v>657745</v>
      </c>
      <c r="AJ176" s="231"/>
    </row>
    <row r="177" spans="1:36" x14ac:dyDescent="0.3">
      <c r="A177" s="15">
        <v>1</v>
      </c>
      <c r="B177" s="226" t="s">
        <v>36</v>
      </c>
      <c r="C177" s="84" t="s">
        <v>80</v>
      </c>
      <c r="D177" s="8"/>
      <c r="E177" s="66">
        <v>46287</v>
      </c>
      <c r="F177" s="40" t="s">
        <v>198</v>
      </c>
      <c r="G177" s="2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>
        <v>0</v>
      </c>
      <c r="AG177" s="5">
        <v>0</v>
      </c>
      <c r="AH177" s="5">
        <v>82500</v>
      </c>
      <c r="AI177" s="5">
        <f t="shared" ref="AI177:AI183" si="26">SUM(H177:AH177)</f>
        <v>82500</v>
      </c>
      <c r="AJ177" s="8"/>
    </row>
    <row r="178" spans="1:36" x14ac:dyDescent="0.3">
      <c r="A178" s="15">
        <v>1</v>
      </c>
      <c r="B178" s="226" t="s">
        <v>36</v>
      </c>
      <c r="C178" s="84" t="s">
        <v>80</v>
      </c>
      <c r="D178" s="8"/>
      <c r="E178" s="66">
        <v>46287</v>
      </c>
      <c r="F178" s="40" t="s">
        <v>199</v>
      </c>
      <c r="G178" s="2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>
        <v>165000</v>
      </c>
      <c r="AI178" s="5">
        <f t="shared" si="26"/>
        <v>165000</v>
      </c>
      <c r="AJ178" s="8"/>
    </row>
    <row r="179" spans="1:36" x14ac:dyDescent="0.3">
      <c r="A179" s="15">
        <v>1</v>
      </c>
      <c r="B179" s="226" t="s">
        <v>36</v>
      </c>
      <c r="C179" s="84" t="s">
        <v>80</v>
      </c>
      <c r="D179" s="8"/>
      <c r="E179" s="203">
        <v>46294</v>
      </c>
      <c r="F179" s="40" t="s">
        <v>205</v>
      </c>
      <c r="G179" s="2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>
        <v>30250</v>
      </c>
      <c r="AI179" s="5">
        <f t="shared" si="26"/>
        <v>30250</v>
      </c>
      <c r="AJ179" s="8"/>
    </row>
    <row r="180" spans="1:36" x14ac:dyDescent="0.3">
      <c r="A180" s="15">
        <v>1</v>
      </c>
      <c r="B180" s="226" t="s">
        <v>36</v>
      </c>
      <c r="C180" s="84" t="s">
        <v>80</v>
      </c>
      <c r="D180" s="8"/>
      <c r="E180" s="203"/>
      <c r="F180" s="18"/>
      <c r="G180" s="2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>
        <v>0</v>
      </c>
      <c r="AI180" s="5">
        <f t="shared" si="26"/>
        <v>0</v>
      </c>
      <c r="AJ180" s="8"/>
    </row>
    <row r="181" spans="1:36" x14ac:dyDescent="0.3">
      <c r="A181" s="15">
        <v>2</v>
      </c>
      <c r="B181" s="226" t="s">
        <v>36</v>
      </c>
      <c r="C181" s="84" t="s">
        <v>79</v>
      </c>
      <c r="D181" s="1"/>
      <c r="E181" s="82">
        <v>46267</v>
      </c>
      <c r="F181" s="18" t="s">
        <v>138</v>
      </c>
      <c r="G181" s="2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>
        <v>15000</v>
      </c>
      <c r="AI181" s="5">
        <f t="shared" si="26"/>
        <v>15000</v>
      </c>
      <c r="AJ181" s="8"/>
    </row>
    <row r="182" spans="1:36" x14ac:dyDescent="0.3">
      <c r="A182" s="15">
        <v>3</v>
      </c>
      <c r="B182" s="226" t="s">
        <v>36</v>
      </c>
      <c r="C182" s="84" t="s">
        <v>51</v>
      </c>
      <c r="D182" s="1"/>
      <c r="E182" s="203"/>
      <c r="F182" s="40"/>
      <c r="G182" s="2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>
        <v>0</v>
      </c>
      <c r="AI182" s="5">
        <f t="shared" si="26"/>
        <v>0</v>
      </c>
      <c r="AJ182" s="8"/>
    </row>
    <row r="183" spans="1:36" x14ac:dyDescent="0.3">
      <c r="A183" s="15">
        <v>4</v>
      </c>
      <c r="B183" s="226" t="s">
        <v>36</v>
      </c>
      <c r="C183" s="84" t="s">
        <v>99</v>
      </c>
      <c r="D183" s="1"/>
      <c r="E183" s="203"/>
      <c r="F183" s="40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>
        <v>0</v>
      </c>
      <c r="AI183" s="5">
        <f t="shared" si="26"/>
        <v>0</v>
      </c>
      <c r="AJ183" s="8"/>
    </row>
    <row r="184" spans="1:36" s="87" customFormat="1" x14ac:dyDescent="0.3">
      <c r="A184" s="296" t="s">
        <v>37</v>
      </c>
      <c r="B184" s="296"/>
      <c r="C184" s="296"/>
      <c r="D184" s="296"/>
      <c r="E184" s="296"/>
      <c r="F184" s="296"/>
      <c r="G184" s="296"/>
      <c r="H184" s="231">
        <f t="shared" ref="H184:AI184" si="27">SUM(H177:H183)</f>
        <v>0</v>
      </c>
      <c r="I184" s="231">
        <f t="shared" si="27"/>
        <v>0</v>
      </c>
      <c r="J184" s="231">
        <f t="shared" si="27"/>
        <v>0</v>
      </c>
      <c r="K184" s="231">
        <f t="shared" si="27"/>
        <v>0</v>
      </c>
      <c r="L184" s="231">
        <f t="shared" si="27"/>
        <v>0</v>
      </c>
      <c r="M184" s="231">
        <f t="shared" si="27"/>
        <v>0</v>
      </c>
      <c r="N184" s="231">
        <f t="shared" si="27"/>
        <v>0</v>
      </c>
      <c r="O184" s="231">
        <f t="shared" si="27"/>
        <v>0</v>
      </c>
      <c r="P184" s="231">
        <f t="shared" si="27"/>
        <v>0</v>
      </c>
      <c r="Q184" s="231">
        <f t="shared" si="27"/>
        <v>0</v>
      </c>
      <c r="R184" s="231">
        <f t="shared" si="27"/>
        <v>0</v>
      </c>
      <c r="S184" s="231">
        <f t="shared" si="27"/>
        <v>0</v>
      </c>
      <c r="T184" s="231">
        <f t="shared" si="27"/>
        <v>0</v>
      </c>
      <c r="U184" s="231">
        <f t="shared" si="27"/>
        <v>0</v>
      </c>
      <c r="V184" s="231">
        <f t="shared" si="27"/>
        <v>0</v>
      </c>
      <c r="W184" s="231">
        <f t="shared" si="27"/>
        <v>0</v>
      </c>
      <c r="X184" s="231">
        <f t="shared" si="27"/>
        <v>0</v>
      </c>
      <c r="Y184" s="231">
        <f t="shared" si="27"/>
        <v>0</v>
      </c>
      <c r="Z184" s="231">
        <f t="shared" si="27"/>
        <v>0</v>
      </c>
      <c r="AA184" s="231">
        <f t="shared" si="27"/>
        <v>0</v>
      </c>
      <c r="AB184" s="231">
        <f t="shared" si="27"/>
        <v>0</v>
      </c>
      <c r="AC184" s="231">
        <f t="shared" si="27"/>
        <v>0</v>
      </c>
      <c r="AD184" s="231">
        <f t="shared" si="27"/>
        <v>0</v>
      </c>
      <c r="AE184" s="231">
        <f t="shared" si="27"/>
        <v>0</v>
      </c>
      <c r="AF184" s="231">
        <f t="shared" si="27"/>
        <v>0</v>
      </c>
      <c r="AG184" s="231">
        <f t="shared" si="27"/>
        <v>0</v>
      </c>
      <c r="AH184" s="231">
        <f t="shared" si="27"/>
        <v>292750</v>
      </c>
      <c r="AI184" s="231">
        <f t="shared" si="27"/>
        <v>292750</v>
      </c>
      <c r="AJ184" s="232"/>
    </row>
    <row r="185" spans="1:36" x14ac:dyDescent="0.3">
      <c r="A185" s="15">
        <v>1</v>
      </c>
      <c r="B185" s="226" t="s">
        <v>44</v>
      </c>
      <c r="C185" s="84" t="s">
        <v>45</v>
      </c>
      <c r="D185" s="1"/>
      <c r="E185" s="2"/>
      <c r="F185" s="8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>
        <v>0</v>
      </c>
      <c r="AG185" s="5">
        <v>0</v>
      </c>
      <c r="AH185" s="5">
        <v>0</v>
      </c>
      <c r="AI185" s="5">
        <f t="shared" ref="AI185:AI190" si="28">SUM(H185:AH185)</f>
        <v>0</v>
      </c>
      <c r="AJ185" s="5"/>
    </row>
    <row r="186" spans="1:36" x14ac:dyDescent="0.3">
      <c r="A186" s="15">
        <v>2</v>
      </c>
      <c r="B186" s="226" t="s">
        <v>44</v>
      </c>
      <c r="C186" s="84" t="s">
        <v>122</v>
      </c>
      <c r="D186" s="1"/>
      <c r="E186" s="203">
        <v>46280</v>
      </c>
      <c r="F186" s="8" t="s">
        <v>177</v>
      </c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>
        <v>41923</v>
      </c>
      <c r="AI186" s="5">
        <f t="shared" si="28"/>
        <v>41923</v>
      </c>
      <c r="AJ186" s="5"/>
    </row>
    <row r="187" spans="1:36" x14ac:dyDescent="0.3">
      <c r="A187" s="15">
        <v>2</v>
      </c>
      <c r="B187" s="226" t="s">
        <v>44</v>
      </c>
      <c r="C187" s="84" t="s">
        <v>121</v>
      </c>
      <c r="D187" s="1"/>
      <c r="E187" s="203">
        <v>46280</v>
      </c>
      <c r="F187" s="8" t="s">
        <v>176</v>
      </c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>
        <v>15346</v>
      </c>
      <c r="AI187" s="5">
        <f t="shared" si="28"/>
        <v>15346</v>
      </c>
      <c r="AJ187" s="5"/>
    </row>
    <row r="188" spans="1:36" x14ac:dyDescent="0.3">
      <c r="A188" s="15">
        <v>3</v>
      </c>
      <c r="B188" s="226" t="s">
        <v>44</v>
      </c>
      <c r="C188" s="84" t="s">
        <v>118</v>
      </c>
      <c r="D188" s="1"/>
      <c r="E188" s="2"/>
      <c r="F188" s="8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>
        <v>0</v>
      </c>
      <c r="AI188" s="5">
        <f t="shared" si="28"/>
        <v>0</v>
      </c>
      <c r="AJ188" s="5"/>
    </row>
    <row r="189" spans="1:36" x14ac:dyDescent="0.3">
      <c r="A189" s="15">
        <v>4</v>
      </c>
      <c r="B189" s="226" t="s">
        <v>44</v>
      </c>
      <c r="C189" s="84" t="s">
        <v>123</v>
      </c>
      <c r="D189" s="1"/>
      <c r="E189" s="82">
        <v>46267</v>
      </c>
      <c r="F189" s="40" t="s">
        <v>139</v>
      </c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>
        <v>180000</v>
      </c>
      <c r="AI189" s="5">
        <f t="shared" si="28"/>
        <v>180000</v>
      </c>
      <c r="AJ189" s="5"/>
    </row>
    <row r="190" spans="1:36" x14ac:dyDescent="0.3">
      <c r="A190" s="15">
        <v>5</v>
      </c>
      <c r="B190" s="226" t="s">
        <v>44</v>
      </c>
      <c r="C190" s="84" t="s">
        <v>200</v>
      </c>
      <c r="D190" s="1"/>
      <c r="E190" s="82">
        <v>46268</v>
      </c>
      <c r="F190" s="40" t="s">
        <v>142</v>
      </c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>
        <v>281563</v>
      </c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>
        <v>0</v>
      </c>
      <c r="AI190" s="5">
        <f t="shared" si="28"/>
        <v>281563</v>
      </c>
      <c r="AJ190" s="5"/>
    </row>
    <row r="191" spans="1:36" s="87" customFormat="1" x14ac:dyDescent="0.3">
      <c r="A191" s="296" t="s">
        <v>38</v>
      </c>
      <c r="B191" s="296"/>
      <c r="C191" s="296"/>
      <c r="D191" s="296"/>
      <c r="E191" s="296"/>
      <c r="F191" s="296"/>
      <c r="G191" s="296"/>
      <c r="H191" s="231">
        <f t="shared" ref="H191:AG191" si="29">SUM(H185:H190)</f>
        <v>0</v>
      </c>
      <c r="I191" s="231">
        <f t="shared" si="29"/>
        <v>0</v>
      </c>
      <c r="J191" s="231">
        <f t="shared" si="29"/>
        <v>0</v>
      </c>
      <c r="K191" s="231">
        <f t="shared" si="29"/>
        <v>0</v>
      </c>
      <c r="L191" s="231">
        <f t="shared" si="29"/>
        <v>0</v>
      </c>
      <c r="M191" s="231">
        <f t="shared" si="29"/>
        <v>0</v>
      </c>
      <c r="N191" s="231">
        <f t="shared" si="29"/>
        <v>0</v>
      </c>
      <c r="O191" s="231">
        <f t="shared" si="29"/>
        <v>0</v>
      </c>
      <c r="P191" s="231">
        <f t="shared" si="29"/>
        <v>0</v>
      </c>
      <c r="Q191" s="231">
        <f t="shared" si="29"/>
        <v>0</v>
      </c>
      <c r="R191" s="231">
        <f t="shared" si="29"/>
        <v>0</v>
      </c>
      <c r="S191" s="231">
        <f t="shared" si="29"/>
        <v>0</v>
      </c>
      <c r="T191" s="231">
        <f t="shared" si="29"/>
        <v>0</v>
      </c>
      <c r="U191" s="231">
        <f t="shared" si="29"/>
        <v>281563</v>
      </c>
      <c r="V191" s="231">
        <f t="shared" si="29"/>
        <v>0</v>
      </c>
      <c r="W191" s="231">
        <f t="shared" si="29"/>
        <v>0</v>
      </c>
      <c r="X191" s="231">
        <f t="shared" si="29"/>
        <v>0</v>
      </c>
      <c r="Y191" s="231">
        <f t="shared" si="29"/>
        <v>0</v>
      </c>
      <c r="Z191" s="231">
        <f t="shared" si="29"/>
        <v>0</v>
      </c>
      <c r="AA191" s="231">
        <f t="shared" si="29"/>
        <v>0</v>
      </c>
      <c r="AB191" s="231">
        <f t="shared" si="29"/>
        <v>0</v>
      </c>
      <c r="AC191" s="231">
        <f t="shared" si="29"/>
        <v>0</v>
      </c>
      <c r="AD191" s="231">
        <f t="shared" si="29"/>
        <v>0</v>
      </c>
      <c r="AE191" s="231">
        <f t="shared" si="29"/>
        <v>0</v>
      </c>
      <c r="AF191" s="231">
        <f t="shared" si="29"/>
        <v>0</v>
      </c>
      <c r="AG191" s="231">
        <f t="shared" si="29"/>
        <v>0</v>
      </c>
      <c r="AH191" s="231">
        <f>SUM(AH185:AH190)</f>
        <v>237269</v>
      </c>
      <c r="AI191" s="231">
        <f>SUM(AI185:AI190)</f>
        <v>518832</v>
      </c>
      <c r="AJ191" s="232"/>
    </row>
    <row r="192" spans="1:36" x14ac:dyDescent="0.3">
      <c r="A192" s="15">
        <v>1</v>
      </c>
      <c r="B192" s="226" t="s">
        <v>29</v>
      </c>
      <c r="C192" s="84" t="s">
        <v>49</v>
      </c>
      <c r="D192" s="8"/>
      <c r="E192" s="82">
        <v>46283</v>
      </c>
      <c r="F192" s="40" t="s">
        <v>180</v>
      </c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>
        <v>5000</v>
      </c>
      <c r="AI192" s="5">
        <f t="shared" ref="AI192:AI226" si="30">SUM(H192:AH192)</f>
        <v>5000</v>
      </c>
      <c r="AJ192" s="8"/>
    </row>
    <row r="193" spans="1:36" x14ac:dyDescent="0.3">
      <c r="A193" s="15">
        <v>2</v>
      </c>
      <c r="B193" s="226" t="s">
        <v>29</v>
      </c>
      <c r="C193" s="84" t="s">
        <v>49</v>
      </c>
      <c r="D193" s="8"/>
      <c r="E193" s="203">
        <v>46287</v>
      </c>
      <c r="F193" s="40" t="s">
        <v>190</v>
      </c>
      <c r="G193" s="23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>
        <v>10000</v>
      </c>
      <c r="AI193" s="5">
        <f t="shared" si="30"/>
        <v>10000</v>
      </c>
      <c r="AJ193" s="8"/>
    </row>
    <row r="194" spans="1:36" x14ac:dyDescent="0.3">
      <c r="A194" s="15">
        <v>3</v>
      </c>
      <c r="B194" s="226" t="s">
        <v>29</v>
      </c>
      <c r="C194" s="84" t="s">
        <v>49</v>
      </c>
      <c r="D194" s="8"/>
      <c r="E194" s="8" t="s">
        <v>239</v>
      </c>
      <c r="F194" s="8" t="s">
        <v>240</v>
      </c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>
        <v>0</v>
      </c>
      <c r="AI194" s="5">
        <f t="shared" si="30"/>
        <v>0</v>
      </c>
      <c r="AJ194" s="8"/>
    </row>
    <row r="195" spans="1:36" x14ac:dyDescent="0.3">
      <c r="A195" s="15">
        <v>4</v>
      </c>
      <c r="B195" s="226" t="s">
        <v>29</v>
      </c>
      <c r="C195" s="84" t="s">
        <v>49</v>
      </c>
      <c r="D195" s="8"/>
      <c r="E195" s="203">
        <v>46294</v>
      </c>
      <c r="F195" s="223" t="s">
        <v>216</v>
      </c>
      <c r="G195" s="30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>
        <v>2500</v>
      </c>
      <c r="AI195" s="5">
        <f t="shared" si="30"/>
        <v>2500</v>
      </c>
      <c r="AJ195" s="8"/>
    </row>
    <row r="196" spans="1:36" x14ac:dyDescent="0.3">
      <c r="A196" s="15">
        <v>5</v>
      </c>
      <c r="B196" s="226" t="s">
        <v>29</v>
      </c>
      <c r="C196" s="84" t="s">
        <v>49</v>
      </c>
      <c r="D196" s="8"/>
      <c r="E196" s="203">
        <v>46294</v>
      </c>
      <c r="F196" s="40" t="s">
        <v>217</v>
      </c>
      <c r="G196" s="30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>
        <v>5000</v>
      </c>
      <c r="AI196" s="5">
        <f t="shared" si="30"/>
        <v>5000</v>
      </c>
      <c r="AJ196" s="8"/>
    </row>
    <row r="197" spans="1:36" x14ac:dyDescent="0.3">
      <c r="A197" s="15">
        <v>6</v>
      </c>
      <c r="B197" s="226" t="s">
        <v>29</v>
      </c>
      <c r="C197" s="84" t="s">
        <v>49</v>
      </c>
      <c r="D197" s="8"/>
      <c r="E197" s="203">
        <v>46294</v>
      </c>
      <c r="F197" s="40" t="s">
        <v>218</v>
      </c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>
        <v>3000</v>
      </c>
      <c r="AI197" s="5">
        <f t="shared" si="30"/>
        <v>3000</v>
      </c>
      <c r="AJ197" s="8"/>
    </row>
    <row r="198" spans="1:36" x14ac:dyDescent="0.3">
      <c r="A198" s="15">
        <v>7</v>
      </c>
      <c r="B198" s="226" t="s">
        <v>29</v>
      </c>
      <c r="C198" s="84" t="s">
        <v>49</v>
      </c>
      <c r="D198" s="8"/>
      <c r="E198" s="203">
        <v>46295</v>
      </c>
      <c r="F198" s="40" t="s">
        <v>236</v>
      </c>
      <c r="G198" s="20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>
        <v>2000</v>
      </c>
      <c r="AI198" s="5">
        <f t="shared" si="30"/>
        <v>2000</v>
      </c>
      <c r="AJ198" s="8"/>
    </row>
    <row r="199" spans="1:36" x14ac:dyDescent="0.3">
      <c r="A199" s="15">
        <v>8</v>
      </c>
      <c r="B199" s="226" t="s">
        <v>29</v>
      </c>
      <c r="C199" s="84" t="s">
        <v>49</v>
      </c>
      <c r="D199" s="8"/>
      <c r="E199" s="203">
        <v>46295</v>
      </c>
      <c r="F199" s="40" t="s">
        <v>237</v>
      </c>
      <c r="G199" s="20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>
        <v>5000</v>
      </c>
      <c r="AI199" s="5">
        <f t="shared" si="30"/>
        <v>5000</v>
      </c>
      <c r="AJ199" s="8"/>
    </row>
    <row r="200" spans="1:36" x14ac:dyDescent="0.3">
      <c r="A200" s="15">
        <v>9</v>
      </c>
      <c r="B200" s="226" t="s">
        <v>29</v>
      </c>
      <c r="C200" s="84" t="s">
        <v>49</v>
      </c>
      <c r="D200" s="8"/>
      <c r="E200" s="8" t="s">
        <v>239</v>
      </c>
      <c r="F200" s="8" t="s">
        <v>244</v>
      </c>
      <c r="G200" s="20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>
        <v>1780</v>
      </c>
      <c r="AI200" s="5">
        <f t="shared" si="30"/>
        <v>1780</v>
      </c>
      <c r="AJ200" s="8"/>
    </row>
    <row r="201" spans="1:36" x14ac:dyDescent="0.3">
      <c r="A201" s="15">
        <v>10</v>
      </c>
      <c r="B201" s="226" t="s">
        <v>29</v>
      </c>
      <c r="C201" s="84" t="s">
        <v>49</v>
      </c>
      <c r="D201" s="8"/>
      <c r="E201" s="8" t="s">
        <v>239</v>
      </c>
      <c r="F201" s="8" t="s">
        <v>247</v>
      </c>
      <c r="G201" s="20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>
        <v>14200</v>
      </c>
      <c r="AF201" s="18"/>
      <c r="AG201" s="18"/>
      <c r="AH201" s="5">
        <v>0</v>
      </c>
      <c r="AI201" s="5">
        <f t="shared" si="30"/>
        <v>14200</v>
      </c>
      <c r="AJ201" s="8"/>
    </row>
    <row r="202" spans="1:36" x14ac:dyDescent="0.3">
      <c r="A202" s="15">
        <v>11</v>
      </c>
      <c r="B202" s="226" t="s">
        <v>29</v>
      </c>
      <c r="C202" s="84" t="s">
        <v>49</v>
      </c>
      <c r="D202" s="8"/>
      <c r="E202" s="8" t="s">
        <v>256</v>
      </c>
      <c r="F202" s="8" t="s">
        <v>257</v>
      </c>
      <c r="G202" s="20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>
        <v>295</v>
      </c>
      <c r="AI202" s="5">
        <f t="shared" si="30"/>
        <v>295</v>
      </c>
      <c r="AJ202" s="8"/>
    </row>
    <row r="203" spans="1:36" x14ac:dyDescent="0.3">
      <c r="A203" s="15">
        <v>12</v>
      </c>
      <c r="B203" s="226" t="s">
        <v>29</v>
      </c>
      <c r="C203" s="84" t="s">
        <v>49</v>
      </c>
      <c r="D203" s="8"/>
      <c r="E203" s="8" t="s">
        <v>258</v>
      </c>
      <c r="F203" s="8" t="s">
        <v>259</v>
      </c>
      <c r="G203" s="20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>
        <v>290</v>
      </c>
      <c r="AI203" s="5">
        <f t="shared" si="30"/>
        <v>290</v>
      </c>
      <c r="AJ203" s="8"/>
    </row>
    <row r="204" spans="1:36" x14ac:dyDescent="0.3">
      <c r="A204" s="15">
        <v>13</v>
      </c>
      <c r="B204" s="226" t="s">
        <v>29</v>
      </c>
      <c r="C204" s="84" t="s">
        <v>49</v>
      </c>
      <c r="D204" s="8"/>
      <c r="E204" s="8" t="s">
        <v>267</v>
      </c>
      <c r="F204" s="8" t="s">
        <v>268</v>
      </c>
      <c r="G204" s="20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>
        <v>1100</v>
      </c>
      <c r="AI204" s="5">
        <f t="shared" si="30"/>
        <v>1100</v>
      </c>
      <c r="AJ204" s="8"/>
    </row>
    <row r="205" spans="1:36" x14ac:dyDescent="0.3">
      <c r="A205" s="15">
        <v>14</v>
      </c>
      <c r="B205" s="226" t="s">
        <v>29</v>
      </c>
      <c r="C205" s="84" t="s">
        <v>49</v>
      </c>
      <c r="D205" s="8"/>
      <c r="E205" s="8" t="s">
        <v>276</v>
      </c>
      <c r="F205" s="8" t="s">
        <v>279</v>
      </c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>
        <v>250</v>
      </c>
      <c r="AE205" s="5"/>
      <c r="AF205" s="5"/>
      <c r="AG205" s="5"/>
      <c r="AH205" s="5">
        <v>0</v>
      </c>
      <c r="AI205" s="5">
        <f t="shared" si="30"/>
        <v>250</v>
      </c>
      <c r="AJ205" s="8"/>
    </row>
    <row r="206" spans="1:36" x14ac:dyDescent="0.3">
      <c r="A206" s="15">
        <v>15</v>
      </c>
      <c r="B206" s="226" t="s">
        <v>29</v>
      </c>
      <c r="C206" s="84" t="s">
        <v>49</v>
      </c>
      <c r="D206" s="8"/>
      <c r="E206" s="228">
        <v>46286</v>
      </c>
      <c r="F206" s="20" t="s">
        <v>187</v>
      </c>
      <c r="G206" s="20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>
        <v>3135</v>
      </c>
      <c r="AI206" s="5">
        <f t="shared" si="30"/>
        <v>3135</v>
      </c>
      <c r="AJ206" s="8"/>
    </row>
    <row r="207" spans="1:36" x14ac:dyDescent="0.3">
      <c r="A207" s="15">
        <v>16</v>
      </c>
      <c r="B207" s="226" t="s">
        <v>29</v>
      </c>
      <c r="C207" s="84" t="s">
        <v>49</v>
      </c>
      <c r="D207" s="8"/>
      <c r="E207" s="8" t="s">
        <v>291</v>
      </c>
      <c r="F207" s="8" t="s">
        <v>292</v>
      </c>
      <c r="G207" s="20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>
        <v>451</v>
      </c>
      <c r="AI207" s="5">
        <f t="shared" si="30"/>
        <v>451</v>
      </c>
      <c r="AJ207" s="8"/>
    </row>
    <row r="208" spans="1:36" x14ac:dyDescent="0.3">
      <c r="A208" s="15">
        <v>17</v>
      </c>
      <c r="B208" s="226" t="s">
        <v>29</v>
      </c>
      <c r="C208" s="84" t="s">
        <v>49</v>
      </c>
      <c r="D208" s="8"/>
      <c r="E208" s="8" t="s">
        <v>291</v>
      </c>
      <c r="F208" s="8" t="s">
        <v>293</v>
      </c>
      <c r="G208" s="2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>
        <v>70</v>
      </c>
      <c r="AI208" s="5">
        <f t="shared" si="30"/>
        <v>70</v>
      </c>
      <c r="AJ208" s="8"/>
    </row>
    <row r="209" spans="1:36" x14ac:dyDescent="0.3">
      <c r="A209" s="15">
        <v>18</v>
      </c>
      <c r="B209" s="226" t="s">
        <v>29</v>
      </c>
      <c r="C209" s="84" t="s">
        <v>49</v>
      </c>
      <c r="D209" s="8"/>
      <c r="E209" s="8" t="s">
        <v>291</v>
      </c>
      <c r="F209" s="8" t="s">
        <v>295</v>
      </c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>
        <v>400</v>
      </c>
      <c r="AI209" s="5">
        <f t="shared" si="30"/>
        <v>400</v>
      </c>
      <c r="AJ209" s="8"/>
    </row>
    <row r="210" spans="1:36" x14ac:dyDescent="0.3">
      <c r="A210" s="15">
        <v>19</v>
      </c>
      <c r="B210" s="226" t="s">
        <v>29</v>
      </c>
      <c r="C210" s="84" t="s">
        <v>49</v>
      </c>
      <c r="D210" s="8"/>
      <c r="E210" s="8" t="s">
        <v>291</v>
      </c>
      <c r="F210" s="8" t="s">
        <v>296</v>
      </c>
      <c r="G210" s="20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>
        <v>280</v>
      </c>
      <c r="AI210" s="5">
        <f t="shared" si="30"/>
        <v>280</v>
      </c>
      <c r="AJ210" s="8"/>
    </row>
    <row r="211" spans="1:36" x14ac:dyDescent="0.3">
      <c r="A211" s="15">
        <v>20</v>
      </c>
      <c r="B211" s="226" t="s">
        <v>29</v>
      </c>
      <c r="C211" s="84" t="s">
        <v>49</v>
      </c>
      <c r="D211" s="8"/>
      <c r="E211" s="8" t="s">
        <v>297</v>
      </c>
      <c r="F211" s="8" t="s">
        <v>299</v>
      </c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>
        <v>1039</v>
      </c>
      <c r="AI211" s="5">
        <f t="shared" si="30"/>
        <v>1039</v>
      </c>
      <c r="AJ211" s="8"/>
    </row>
    <row r="212" spans="1:36" x14ac:dyDescent="0.3">
      <c r="A212" s="15">
        <v>21</v>
      </c>
      <c r="B212" s="226" t="s">
        <v>29</v>
      </c>
      <c r="C212" s="84" t="s">
        <v>49</v>
      </c>
      <c r="D212" s="8"/>
      <c r="E212" s="8" t="s">
        <v>302</v>
      </c>
      <c r="F212" s="8" t="s">
        <v>303</v>
      </c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>
        <v>160</v>
      </c>
      <c r="AI212" s="5">
        <f t="shared" si="30"/>
        <v>160</v>
      </c>
      <c r="AJ212" s="8"/>
    </row>
    <row r="213" spans="1:36" x14ac:dyDescent="0.3">
      <c r="A213" s="15">
        <v>22</v>
      </c>
      <c r="B213" s="226" t="s">
        <v>29</v>
      </c>
      <c r="C213" s="84" t="s">
        <v>49</v>
      </c>
      <c r="D213" s="8"/>
      <c r="E213" s="228">
        <v>46276</v>
      </c>
      <c r="F213" s="40" t="s">
        <v>163</v>
      </c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>
        <v>9000</v>
      </c>
      <c r="AI213" s="5">
        <f t="shared" si="30"/>
        <v>9000</v>
      </c>
      <c r="AJ213" s="8"/>
    </row>
    <row r="214" spans="1:36" x14ac:dyDescent="0.3">
      <c r="A214" s="15">
        <v>23</v>
      </c>
      <c r="B214" s="226" t="s">
        <v>29</v>
      </c>
      <c r="C214" s="84" t="s">
        <v>49</v>
      </c>
      <c r="D214" s="8"/>
      <c r="E214" s="228">
        <v>46276</v>
      </c>
      <c r="F214" s="18" t="s">
        <v>304</v>
      </c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>
        <v>10452</v>
      </c>
      <c r="AG214" s="5"/>
      <c r="AH214" s="5">
        <v>0</v>
      </c>
      <c r="AI214" s="5">
        <f t="shared" si="30"/>
        <v>10452</v>
      </c>
      <c r="AJ214" s="8"/>
    </row>
    <row r="215" spans="1:36" x14ac:dyDescent="0.3">
      <c r="A215" s="15">
        <v>24</v>
      </c>
      <c r="B215" s="226" t="s">
        <v>29</v>
      </c>
      <c r="C215" s="84" t="s">
        <v>49</v>
      </c>
      <c r="D215" s="8"/>
      <c r="E215" s="205">
        <v>46279</v>
      </c>
      <c r="F215" s="141" t="s">
        <v>174</v>
      </c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>
        <v>16500</v>
      </c>
      <c r="AG215" s="5"/>
      <c r="AH215" s="5">
        <v>0</v>
      </c>
      <c r="AI215" s="5">
        <f t="shared" si="30"/>
        <v>16500</v>
      </c>
      <c r="AJ215" s="8"/>
    </row>
    <row r="216" spans="1:36" x14ac:dyDescent="0.3">
      <c r="A216" s="15">
        <v>25</v>
      </c>
      <c r="B216" s="226" t="s">
        <v>29</v>
      </c>
      <c r="C216" s="84" t="s">
        <v>49</v>
      </c>
      <c r="D216" s="8"/>
      <c r="E216" s="134">
        <v>46295</v>
      </c>
      <c r="F216" s="141" t="s">
        <v>237</v>
      </c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>
        <v>5000</v>
      </c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>
        <v>0</v>
      </c>
      <c r="AI216" s="5">
        <f t="shared" si="30"/>
        <v>5000</v>
      </c>
      <c r="AJ216" s="8"/>
    </row>
    <row r="217" spans="1:36" x14ac:dyDescent="0.3">
      <c r="A217" s="15">
        <v>26</v>
      </c>
      <c r="B217" s="226" t="s">
        <v>29</v>
      </c>
      <c r="C217" s="84" t="s">
        <v>49</v>
      </c>
      <c r="D217" s="8"/>
      <c r="E217" s="13"/>
      <c r="F217" s="8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>
        <v>0</v>
      </c>
      <c r="AI217" s="5">
        <f t="shared" si="30"/>
        <v>0</v>
      </c>
      <c r="AJ217" s="8"/>
    </row>
    <row r="218" spans="1:36" x14ac:dyDescent="0.3">
      <c r="A218" s="15">
        <v>27</v>
      </c>
      <c r="B218" s="226" t="s">
        <v>29</v>
      </c>
      <c r="C218" s="84" t="s">
        <v>49</v>
      </c>
      <c r="D218" s="8"/>
      <c r="E218" s="13"/>
      <c r="F218" s="8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>
        <v>0</v>
      </c>
      <c r="AI218" s="5">
        <f t="shared" si="30"/>
        <v>0</v>
      </c>
      <c r="AJ218" s="8"/>
    </row>
    <row r="219" spans="1:36" x14ac:dyDescent="0.3">
      <c r="A219" s="15">
        <v>28</v>
      </c>
      <c r="B219" s="226" t="s">
        <v>29</v>
      </c>
      <c r="C219" s="84" t="s">
        <v>49</v>
      </c>
      <c r="D219" s="8"/>
      <c r="E219" s="13"/>
      <c r="F219" s="8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>
        <v>0</v>
      </c>
      <c r="AI219" s="5">
        <f t="shared" si="30"/>
        <v>0</v>
      </c>
      <c r="AJ219" s="8"/>
    </row>
    <row r="220" spans="1:36" x14ac:dyDescent="0.3">
      <c r="A220" s="15">
        <v>29</v>
      </c>
      <c r="B220" s="226" t="s">
        <v>29</v>
      </c>
      <c r="C220" s="84" t="s">
        <v>49</v>
      </c>
      <c r="D220" s="8"/>
      <c r="E220" s="13"/>
      <c r="F220" s="8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>
        <v>0</v>
      </c>
      <c r="AI220" s="5">
        <f t="shared" si="30"/>
        <v>0</v>
      </c>
      <c r="AJ220" s="8"/>
    </row>
    <row r="221" spans="1:36" x14ac:dyDescent="0.3">
      <c r="A221" s="15">
        <v>30</v>
      </c>
      <c r="B221" s="226" t="s">
        <v>29</v>
      </c>
      <c r="C221" s="84" t="s">
        <v>49</v>
      </c>
      <c r="D221" s="8"/>
      <c r="E221" s="13"/>
      <c r="F221" s="8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>
        <v>0</v>
      </c>
      <c r="AI221" s="5">
        <f t="shared" si="30"/>
        <v>0</v>
      </c>
      <c r="AJ221" s="8"/>
    </row>
    <row r="222" spans="1:36" x14ac:dyDescent="0.3">
      <c r="A222" s="15">
        <v>31</v>
      </c>
      <c r="B222" s="226" t="s">
        <v>29</v>
      </c>
      <c r="C222" s="84" t="s">
        <v>49</v>
      </c>
      <c r="D222" s="8"/>
      <c r="E222" s="13"/>
      <c r="F222" s="8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>
        <v>0</v>
      </c>
      <c r="AI222" s="5">
        <f t="shared" si="30"/>
        <v>0</v>
      </c>
      <c r="AJ222" s="8"/>
    </row>
    <row r="223" spans="1:36" x14ac:dyDescent="0.3">
      <c r="A223" s="15">
        <v>32</v>
      </c>
      <c r="B223" s="226" t="s">
        <v>29</v>
      </c>
      <c r="C223" s="84" t="s">
        <v>49</v>
      </c>
      <c r="D223" s="8"/>
      <c r="E223" s="13"/>
      <c r="F223" s="8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>
        <v>0</v>
      </c>
      <c r="AI223" s="5">
        <f t="shared" si="30"/>
        <v>0</v>
      </c>
      <c r="AJ223" s="8"/>
    </row>
    <row r="224" spans="1:36" x14ac:dyDescent="0.3">
      <c r="A224" s="15">
        <v>33</v>
      </c>
      <c r="B224" s="226" t="s">
        <v>29</v>
      </c>
      <c r="C224" s="84" t="s">
        <v>49</v>
      </c>
      <c r="D224" s="8"/>
      <c r="E224" s="13"/>
      <c r="F224" s="8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>
        <v>0</v>
      </c>
      <c r="AI224" s="5">
        <f t="shared" si="30"/>
        <v>0</v>
      </c>
      <c r="AJ224" s="8"/>
    </row>
    <row r="225" spans="1:38" x14ac:dyDescent="0.3">
      <c r="A225" s="15">
        <v>34</v>
      </c>
      <c r="B225" s="226" t="s">
        <v>29</v>
      </c>
      <c r="C225" s="84" t="s">
        <v>49</v>
      </c>
      <c r="D225" s="8"/>
      <c r="E225" s="13"/>
      <c r="F225" s="8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>
        <v>0</v>
      </c>
      <c r="AI225" s="5">
        <f t="shared" si="30"/>
        <v>0</v>
      </c>
      <c r="AJ225" s="8"/>
    </row>
    <row r="226" spans="1:38" x14ac:dyDescent="0.3">
      <c r="A226" s="15">
        <v>35</v>
      </c>
      <c r="B226" s="226" t="s">
        <v>29</v>
      </c>
      <c r="C226" s="84" t="s">
        <v>49</v>
      </c>
      <c r="D226" s="8"/>
      <c r="E226" s="13"/>
      <c r="F226" s="8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18"/>
      <c r="AF226" s="18"/>
      <c r="AG226" s="18"/>
      <c r="AH226" s="5">
        <v>0</v>
      </c>
      <c r="AI226" s="5">
        <f t="shared" si="30"/>
        <v>0</v>
      </c>
      <c r="AJ226" s="8"/>
    </row>
    <row r="227" spans="1:38" s="87" customFormat="1" x14ac:dyDescent="0.3">
      <c r="A227" s="296" t="s">
        <v>53</v>
      </c>
      <c r="B227" s="296"/>
      <c r="C227" s="296"/>
      <c r="D227" s="296"/>
      <c r="E227" s="296"/>
      <c r="F227" s="296"/>
      <c r="G227" s="296"/>
      <c r="H227" s="231">
        <f t="shared" ref="H227:AG227" si="31">SUM(H192:H226)</f>
        <v>0</v>
      </c>
      <c r="I227" s="231">
        <f t="shared" si="31"/>
        <v>0</v>
      </c>
      <c r="J227" s="231">
        <f t="shared" si="31"/>
        <v>0</v>
      </c>
      <c r="K227" s="231">
        <f t="shared" si="31"/>
        <v>0</v>
      </c>
      <c r="L227" s="231">
        <f t="shared" si="31"/>
        <v>0</v>
      </c>
      <c r="M227" s="231">
        <f t="shared" si="31"/>
        <v>0</v>
      </c>
      <c r="N227" s="231">
        <f t="shared" si="31"/>
        <v>0</v>
      </c>
      <c r="O227" s="231">
        <f t="shared" si="31"/>
        <v>0</v>
      </c>
      <c r="P227" s="231">
        <f t="shared" si="31"/>
        <v>0</v>
      </c>
      <c r="Q227" s="231">
        <f t="shared" si="31"/>
        <v>0</v>
      </c>
      <c r="R227" s="231">
        <f t="shared" si="31"/>
        <v>0</v>
      </c>
      <c r="S227" s="231">
        <f t="shared" si="31"/>
        <v>0</v>
      </c>
      <c r="T227" s="231">
        <f t="shared" si="31"/>
        <v>0</v>
      </c>
      <c r="U227" s="231">
        <f t="shared" si="31"/>
        <v>5000</v>
      </c>
      <c r="V227" s="231">
        <f t="shared" si="31"/>
        <v>0</v>
      </c>
      <c r="W227" s="231">
        <f t="shared" si="31"/>
        <v>0</v>
      </c>
      <c r="X227" s="231">
        <f t="shared" si="31"/>
        <v>0</v>
      </c>
      <c r="Y227" s="231">
        <f t="shared" si="31"/>
        <v>0</v>
      </c>
      <c r="Z227" s="231">
        <f t="shared" si="31"/>
        <v>0</v>
      </c>
      <c r="AA227" s="231">
        <f t="shared" si="31"/>
        <v>0</v>
      </c>
      <c r="AB227" s="231">
        <f t="shared" si="31"/>
        <v>0</v>
      </c>
      <c r="AC227" s="231">
        <f t="shared" si="31"/>
        <v>0</v>
      </c>
      <c r="AD227" s="231">
        <f t="shared" si="31"/>
        <v>250</v>
      </c>
      <c r="AE227" s="231">
        <f t="shared" si="31"/>
        <v>14200</v>
      </c>
      <c r="AF227" s="231">
        <f t="shared" si="31"/>
        <v>26952</v>
      </c>
      <c r="AG227" s="231">
        <f t="shared" si="31"/>
        <v>0</v>
      </c>
      <c r="AH227" s="231">
        <f>SUM(AH192:AH226)</f>
        <v>50500</v>
      </c>
      <c r="AI227" s="231">
        <f>SUM(AI192:AI226)</f>
        <v>96902</v>
      </c>
      <c r="AJ227" s="232"/>
    </row>
    <row r="228" spans="1:38" x14ac:dyDescent="0.3">
      <c r="A228" s="12">
        <v>1</v>
      </c>
      <c r="B228" s="234" t="s">
        <v>52</v>
      </c>
      <c r="C228" s="84" t="s">
        <v>29</v>
      </c>
      <c r="D228" s="1"/>
      <c r="E228" s="203">
        <v>46294</v>
      </c>
      <c r="F228" s="40" t="s">
        <v>206</v>
      </c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>
        <v>0</v>
      </c>
      <c r="AG228" s="5">
        <v>0</v>
      </c>
      <c r="AH228" s="5">
        <v>197410</v>
      </c>
      <c r="AI228" s="5">
        <f t="shared" ref="AI228:AI233" si="32">SUM(H228:AH228)</f>
        <v>197410</v>
      </c>
      <c r="AJ228" s="5"/>
    </row>
    <row r="229" spans="1:38" x14ac:dyDescent="0.3">
      <c r="A229" s="12">
        <v>2</v>
      </c>
      <c r="B229" s="234" t="s">
        <v>52</v>
      </c>
      <c r="C229" s="84" t="s">
        <v>29</v>
      </c>
      <c r="D229" s="8"/>
      <c r="E229" s="13"/>
      <c r="F229" s="8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>
        <f t="shared" si="32"/>
        <v>0</v>
      </c>
      <c r="AJ229" s="5"/>
    </row>
    <row r="230" spans="1:38" x14ac:dyDescent="0.3">
      <c r="A230" s="12">
        <v>3</v>
      </c>
      <c r="B230" s="234" t="s">
        <v>52</v>
      </c>
      <c r="C230" s="84" t="s">
        <v>29</v>
      </c>
      <c r="D230" s="8"/>
      <c r="E230" s="13"/>
      <c r="F230" s="8"/>
      <c r="G230" s="8"/>
      <c r="H230" s="5">
        <v>0</v>
      </c>
      <c r="I230" s="5">
        <v>0</v>
      </c>
      <c r="J230" s="5">
        <v>0</v>
      </c>
      <c r="K230" s="5">
        <v>0</v>
      </c>
      <c r="L230" s="5"/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/>
      <c r="AD230" s="5"/>
      <c r="AE230" s="5"/>
      <c r="AF230" s="5"/>
      <c r="AG230" s="5"/>
      <c r="AH230" s="5">
        <v>0</v>
      </c>
      <c r="AI230" s="5">
        <f t="shared" si="32"/>
        <v>0</v>
      </c>
      <c r="AJ230" s="5"/>
    </row>
    <row r="231" spans="1:38" x14ac:dyDescent="0.3">
      <c r="A231" s="12">
        <v>4</v>
      </c>
      <c r="B231" s="234" t="s">
        <v>52</v>
      </c>
      <c r="C231" s="84" t="s">
        <v>29</v>
      </c>
      <c r="D231" s="8"/>
      <c r="E231" s="13"/>
      <c r="F231" s="8"/>
      <c r="G231" s="8"/>
      <c r="H231" s="5">
        <v>0</v>
      </c>
      <c r="I231" s="5">
        <v>0</v>
      </c>
      <c r="J231" s="5">
        <v>0</v>
      </c>
      <c r="K231" s="5">
        <v>0</v>
      </c>
      <c r="L231" s="5"/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/>
      <c r="AD231" s="5"/>
      <c r="AE231" s="5"/>
      <c r="AF231" s="5"/>
      <c r="AG231" s="5"/>
      <c r="AH231" s="5">
        <v>0</v>
      </c>
      <c r="AI231" s="5">
        <f t="shared" si="32"/>
        <v>0</v>
      </c>
      <c r="AJ231" s="5"/>
    </row>
    <row r="232" spans="1:38" x14ac:dyDescent="0.3">
      <c r="A232" s="12">
        <v>5</v>
      </c>
      <c r="B232" s="234" t="s">
        <v>52</v>
      </c>
      <c r="C232" s="84" t="s">
        <v>29</v>
      </c>
      <c r="D232" s="8"/>
      <c r="E232" s="13"/>
      <c r="F232" s="8"/>
      <c r="G232" s="8"/>
      <c r="H232" s="5">
        <v>0</v>
      </c>
      <c r="I232" s="5">
        <v>0</v>
      </c>
      <c r="J232" s="5">
        <v>0</v>
      </c>
      <c r="K232" s="5">
        <v>0</v>
      </c>
      <c r="L232" s="5"/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/>
      <c r="AD232" s="5"/>
      <c r="AE232" s="5"/>
      <c r="AF232" s="5"/>
      <c r="AG232" s="5"/>
      <c r="AH232" s="5">
        <v>0</v>
      </c>
      <c r="AI232" s="5">
        <f t="shared" si="32"/>
        <v>0</v>
      </c>
      <c r="AJ232" s="5"/>
    </row>
    <row r="233" spans="1:38" x14ac:dyDescent="0.3">
      <c r="A233" s="12">
        <v>6</v>
      </c>
      <c r="B233" s="234" t="s">
        <v>52</v>
      </c>
      <c r="C233" s="84" t="s">
        <v>29</v>
      </c>
      <c r="D233" s="8"/>
      <c r="E233" s="13"/>
      <c r="F233" s="8"/>
      <c r="G233" s="8"/>
      <c r="H233" s="5">
        <v>0</v>
      </c>
      <c r="I233" s="5">
        <v>0</v>
      </c>
      <c r="J233" s="5">
        <v>0</v>
      </c>
      <c r="K233" s="5">
        <v>0</v>
      </c>
      <c r="L233" s="5"/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/>
      <c r="AD233" s="5"/>
      <c r="AE233" s="5"/>
      <c r="AF233" s="5"/>
      <c r="AG233" s="5"/>
      <c r="AH233" s="5">
        <v>0</v>
      </c>
      <c r="AI233" s="5">
        <f t="shared" si="32"/>
        <v>0</v>
      </c>
      <c r="AJ233" s="5"/>
    </row>
    <row r="234" spans="1:38" s="87" customFormat="1" x14ac:dyDescent="0.3">
      <c r="A234" s="296" t="s">
        <v>54</v>
      </c>
      <c r="B234" s="296"/>
      <c r="C234" s="296"/>
      <c r="D234" s="296"/>
      <c r="E234" s="296"/>
      <c r="F234" s="296"/>
      <c r="G234" s="296"/>
      <c r="H234" s="231">
        <f t="shared" ref="H234:AH234" si="33">SUM(H228:H233)</f>
        <v>0</v>
      </c>
      <c r="I234" s="231">
        <f t="shared" si="33"/>
        <v>0</v>
      </c>
      <c r="J234" s="231">
        <f t="shared" si="33"/>
        <v>0</v>
      </c>
      <c r="K234" s="231">
        <f t="shared" si="33"/>
        <v>0</v>
      </c>
      <c r="L234" s="231">
        <f t="shared" si="33"/>
        <v>0</v>
      </c>
      <c r="M234" s="231">
        <f t="shared" si="33"/>
        <v>0</v>
      </c>
      <c r="N234" s="231">
        <f t="shared" si="33"/>
        <v>0</v>
      </c>
      <c r="O234" s="231">
        <f t="shared" si="33"/>
        <v>0</v>
      </c>
      <c r="P234" s="231">
        <f t="shared" si="33"/>
        <v>0</v>
      </c>
      <c r="Q234" s="231">
        <f t="shared" si="33"/>
        <v>0</v>
      </c>
      <c r="R234" s="231">
        <f t="shared" si="33"/>
        <v>0</v>
      </c>
      <c r="S234" s="231">
        <f t="shared" si="33"/>
        <v>0</v>
      </c>
      <c r="T234" s="231">
        <f t="shared" si="33"/>
        <v>0</v>
      </c>
      <c r="U234" s="231">
        <f t="shared" si="33"/>
        <v>0</v>
      </c>
      <c r="V234" s="231">
        <f t="shared" si="33"/>
        <v>0</v>
      </c>
      <c r="W234" s="231">
        <f t="shared" si="33"/>
        <v>0</v>
      </c>
      <c r="X234" s="231">
        <f t="shared" si="33"/>
        <v>0</v>
      </c>
      <c r="Y234" s="231">
        <f t="shared" si="33"/>
        <v>0</v>
      </c>
      <c r="Z234" s="231">
        <f t="shared" si="33"/>
        <v>0</v>
      </c>
      <c r="AA234" s="231">
        <f t="shared" si="33"/>
        <v>0</v>
      </c>
      <c r="AB234" s="231">
        <f t="shared" si="33"/>
        <v>0</v>
      </c>
      <c r="AC234" s="231">
        <f t="shared" si="33"/>
        <v>0</v>
      </c>
      <c r="AD234" s="231">
        <f t="shared" si="33"/>
        <v>0</v>
      </c>
      <c r="AE234" s="231">
        <f t="shared" si="33"/>
        <v>0</v>
      </c>
      <c r="AF234" s="231">
        <f t="shared" si="33"/>
        <v>0</v>
      </c>
      <c r="AG234" s="231">
        <f t="shared" si="33"/>
        <v>0</v>
      </c>
      <c r="AH234" s="231">
        <f t="shared" si="33"/>
        <v>197410</v>
      </c>
      <c r="AI234" s="231">
        <f>SUM(AI228:AI233)</f>
        <v>197410</v>
      </c>
      <c r="AJ234" s="232"/>
    </row>
    <row r="235" spans="1:38" x14ac:dyDescent="0.3">
      <c r="A235" s="297" t="s">
        <v>48</v>
      </c>
      <c r="B235" s="297"/>
      <c r="C235" s="297"/>
      <c r="D235" s="297"/>
      <c r="E235" s="297"/>
      <c r="F235" s="297"/>
      <c r="G235" s="297"/>
      <c r="H235" s="235">
        <f>H77+H79+H140+H156+H160+H164+H176+H184+H191+H227+H234+H50</f>
        <v>3685483</v>
      </c>
      <c r="I235" s="235">
        <f>I77+I79+I140+I156+I160+I164+I176+I184+I191+I227+I234+I50</f>
        <v>0</v>
      </c>
      <c r="J235" s="235">
        <f>J77+J79+J140+J156+J160+J164+J176+J184+J191+J227+J234+J50</f>
        <v>39337</v>
      </c>
      <c r="K235" s="235">
        <f>K77+K79+K140+K156+K160+K164+K176+K184+K191+K227+K234+K50</f>
        <v>543129</v>
      </c>
      <c r="L235" s="235"/>
      <c r="M235" s="235">
        <f t="shared" ref="M235:AF235" si="34">M77+M79+M140+M156+M160+M164+M176+M184+M191+M227+M234+M50</f>
        <v>196000</v>
      </c>
      <c r="N235" s="235">
        <f t="shared" si="34"/>
        <v>332000</v>
      </c>
      <c r="O235" s="235">
        <f t="shared" si="34"/>
        <v>0</v>
      </c>
      <c r="P235" s="235">
        <f t="shared" si="34"/>
        <v>541136</v>
      </c>
      <c r="Q235" s="235">
        <f t="shared" si="34"/>
        <v>472258</v>
      </c>
      <c r="R235" s="235">
        <f t="shared" si="34"/>
        <v>49000</v>
      </c>
      <c r="S235" s="235">
        <f t="shared" si="34"/>
        <v>50000</v>
      </c>
      <c r="T235" s="235">
        <f t="shared" si="34"/>
        <v>24000</v>
      </c>
      <c r="U235" s="235">
        <f t="shared" si="34"/>
        <v>4582325</v>
      </c>
      <c r="V235" s="235">
        <f t="shared" si="34"/>
        <v>0</v>
      </c>
      <c r="W235" s="235">
        <f t="shared" si="34"/>
        <v>0</v>
      </c>
      <c r="X235" s="235">
        <f t="shared" si="34"/>
        <v>0</v>
      </c>
      <c r="Y235" s="235">
        <f t="shared" si="34"/>
        <v>0</v>
      </c>
      <c r="Z235" s="235">
        <f t="shared" si="34"/>
        <v>334400</v>
      </c>
      <c r="AA235" s="235">
        <f t="shared" si="34"/>
        <v>64000</v>
      </c>
      <c r="AB235" s="235">
        <f t="shared" si="34"/>
        <v>25000</v>
      </c>
      <c r="AC235" s="235">
        <f t="shared" si="34"/>
        <v>29500</v>
      </c>
      <c r="AD235" s="235">
        <f t="shared" si="34"/>
        <v>91669</v>
      </c>
      <c r="AE235" s="235">
        <f t="shared" si="34"/>
        <v>273050</v>
      </c>
      <c r="AF235" s="235">
        <f t="shared" si="34"/>
        <v>27472</v>
      </c>
      <c r="AG235" s="235">
        <f>AG77+AG79+AG140+AG156+AG160+AG164+AG176+AG184+AG191+AG227+AG234+AG50</f>
        <v>80000</v>
      </c>
      <c r="AH235" s="235">
        <f>AH77+AH79+AH140+AH156+AH160+AH164+AH176+AH184+AH191+AH227+AH234+AH50</f>
        <v>3047204</v>
      </c>
      <c r="AI235" s="235">
        <f>AI77+AI79+AI140+AI156+AI160+AI164+AI176+AI184+AI191+AI227+AI234+AI50</f>
        <v>14586963</v>
      </c>
      <c r="AJ235" s="236"/>
      <c r="AL235" s="31"/>
    </row>
    <row r="236" spans="1:38" x14ac:dyDescent="0.3">
      <c r="AL236" s="31"/>
    </row>
    <row r="237" spans="1:38" x14ac:dyDescent="0.3">
      <c r="AL237" s="10"/>
    </row>
    <row r="238" spans="1:38" x14ac:dyDescent="0.3">
      <c r="AJ238" s="10"/>
    </row>
  </sheetData>
  <mergeCells count="14">
    <mergeCell ref="A1:AJ1"/>
    <mergeCell ref="A50:G50"/>
    <mergeCell ref="A140:G140"/>
    <mergeCell ref="A156:G156"/>
    <mergeCell ref="A160:G160"/>
    <mergeCell ref="A227:G227"/>
    <mergeCell ref="A234:G234"/>
    <mergeCell ref="A235:G235"/>
    <mergeCell ref="A77:G77"/>
    <mergeCell ref="A79:G79"/>
    <mergeCell ref="A184:G184"/>
    <mergeCell ref="A191:G191"/>
    <mergeCell ref="A164:G164"/>
    <mergeCell ref="A176:G176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047D-5D75-49BC-B80B-AAE9A6F55430}">
  <dimension ref="B1:Q48"/>
  <sheetViews>
    <sheetView tabSelected="1" zoomScale="90" workbookViewId="0">
      <selection activeCell="L19" sqref="L19"/>
    </sheetView>
  </sheetViews>
  <sheetFormatPr defaultColWidth="8.88671875" defaultRowHeight="14.4" x14ac:dyDescent="0.3"/>
  <cols>
    <col min="1" max="1" width="8.88671875" style="23"/>
    <col min="2" max="2" width="41" style="23" bestFit="1" customWidth="1"/>
    <col min="3" max="4" width="8.88671875" style="23"/>
    <col min="5" max="5" width="10.44140625" style="23" bestFit="1" customWidth="1"/>
    <col min="6" max="6" width="8.88671875" style="23"/>
    <col min="7" max="7" width="10.44140625" style="23" bestFit="1" customWidth="1"/>
    <col min="8" max="8" width="11.88671875" style="23" customWidth="1"/>
    <col min="9" max="11" width="8.88671875" style="23"/>
    <col min="12" max="12" width="11.109375" style="23" bestFit="1" customWidth="1"/>
    <col min="13" max="14" width="8.88671875" style="23"/>
    <col min="15" max="15" width="11.109375" style="23" bestFit="1" customWidth="1"/>
    <col min="16" max="16384" width="8.88671875" style="23"/>
  </cols>
  <sheetData>
    <row r="1" spans="2:17" ht="15" thickBot="1" x14ac:dyDescent="0.35"/>
    <row r="2" spans="2:17" ht="15" thickBot="1" x14ac:dyDescent="0.35">
      <c r="B2" s="302" t="s">
        <v>100</v>
      </c>
      <c r="C2" s="303"/>
      <c r="D2" s="303"/>
      <c r="E2" s="303"/>
      <c r="F2" s="303"/>
      <c r="G2" s="303"/>
      <c r="H2" s="304"/>
    </row>
    <row r="3" spans="2:17" x14ac:dyDescent="0.3">
      <c r="B3" s="305" t="s">
        <v>101</v>
      </c>
      <c r="C3" s="306"/>
      <c r="D3" s="54"/>
      <c r="E3" s="50"/>
      <c r="F3" s="41"/>
      <c r="G3" s="307">
        <f>'INCOME WITHDRWAL STATE'!F36</f>
        <v>16378009</v>
      </c>
      <c r="H3" s="308"/>
      <c r="J3" s="23" t="s">
        <v>114</v>
      </c>
    </row>
    <row r="4" spans="2:17" x14ac:dyDescent="0.3">
      <c r="B4" s="55" t="s">
        <v>102</v>
      </c>
      <c r="C4" s="52"/>
      <c r="D4" s="53"/>
      <c r="E4" s="299"/>
      <c r="F4" s="270"/>
      <c r="G4" s="36"/>
      <c r="H4" s="42"/>
    </row>
    <row r="5" spans="2:17" x14ac:dyDescent="0.3">
      <c r="B5" s="51" t="s">
        <v>16</v>
      </c>
      <c r="C5" s="52"/>
      <c r="D5" s="53"/>
      <c r="E5" s="299">
        <f>'SUMMARY PAY EXPENSE SHEET'!AD3</f>
        <v>12680663</v>
      </c>
      <c r="F5" s="270"/>
      <c r="G5" s="36"/>
      <c r="H5" s="42"/>
    </row>
    <row r="6" spans="2:17" x14ac:dyDescent="0.3">
      <c r="B6" s="51" t="s">
        <v>47</v>
      </c>
      <c r="C6" s="52"/>
      <c r="D6" s="53"/>
      <c r="E6" s="299">
        <f>'SUMMARY PAY EXPENSE SHEET'!AD4</f>
        <v>30000</v>
      </c>
      <c r="F6" s="270"/>
      <c r="G6" s="36"/>
      <c r="H6" s="42"/>
    </row>
    <row r="7" spans="2:17" x14ac:dyDescent="0.3">
      <c r="B7" s="51" t="s">
        <v>28</v>
      </c>
      <c r="C7" s="52"/>
      <c r="D7" s="53"/>
      <c r="E7" s="299">
        <f>'SUMMARY PAY EXPENSE SHEET'!AD5</f>
        <v>0</v>
      </c>
      <c r="F7" s="270"/>
      <c r="G7" s="36"/>
      <c r="H7" s="42"/>
    </row>
    <row r="8" spans="2:17" x14ac:dyDescent="0.3">
      <c r="B8" s="51" t="s">
        <v>31</v>
      </c>
      <c r="C8" s="52"/>
      <c r="D8" s="53"/>
      <c r="E8" s="299">
        <f>'SUMMARY PAY EXPENSE SHEET'!AD6</f>
        <v>94151</v>
      </c>
      <c r="F8" s="270"/>
      <c r="G8" s="36"/>
      <c r="H8" s="42"/>
    </row>
    <row r="9" spans="2:17" x14ac:dyDescent="0.3">
      <c r="B9" s="51" t="s">
        <v>33</v>
      </c>
      <c r="C9" s="52"/>
      <c r="D9" s="53"/>
      <c r="E9" s="299">
        <f>'SUMMARY PAY EXPENSE SHEET'!AD7</f>
        <v>10830</v>
      </c>
      <c r="F9" s="270"/>
      <c r="G9" s="36"/>
      <c r="H9" s="42"/>
    </row>
    <row r="10" spans="2:17" x14ac:dyDescent="0.3">
      <c r="B10" s="51" t="s">
        <v>35</v>
      </c>
      <c r="C10" s="52"/>
      <c r="D10" s="53"/>
      <c r="E10" s="299">
        <f>'SUMMARY PAY EXPENSE SHEET'!AD8</f>
        <v>7680</v>
      </c>
      <c r="F10" s="270"/>
      <c r="G10" s="36"/>
      <c r="H10" s="42"/>
    </row>
    <row r="11" spans="2:17" x14ac:dyDescent="0.3">
      <c r="B11" s="51" t="s">
        <v>40</v>
      </c>
      <c r="C11" s="52"/>
      <c r="D11" s="53"/>
      <c r="E11" s="299">
        <f>'SUMMARY PAY EXPENSE SHEET'!AD9</f>
        <v>0</v>
      </c>
      <c r="F11" s="270"/>
      <c r="G11" s="36"/>
      <c r="H11" s="42"/>
    </row>
    <row r="12" spans="2:17" x14ac:dyDescent="0.3">
      <c r="B12" s="51" t="s">
        <v>43</v>
      </c>
      <c r="C12" s="52"/>
      <c r="D12" s="53"/>
      <c r="E12" s="299">
        <f>'SUMMARY PAY EXPENSE SHEET'!AD10</f>
        <v>657745</v>
      </c>
      <c r="F12" s="270"/>
      <c r="G12" s="36"/>
      <c r="H12" s="42"/>
    </row>
    <row r="13" spans="2:17" x14ac:dyDescent="0.3">
      <c r="B13" s="51" t="s">
        <v>37</v>
      </c>
      <c r="C13" s="52"/>
      <c r="D13" s="53"/>
      <c r="E13" s="299">
        <f>'SUMMARY PAY EXPENSE SHEET'!AD11</f>
        <v>292750</v>
      </c>
      <c r="F13" s="270"/>
      <c r="G13" s="36"/>
      <c r="H13" s="42"/>
    </row>
    <row r="14" spans="2:17" x14ac:dyDescent="0.3">
      <c r="B14" s="51" t="s">
        <v>38</v>
      </c>
      <c r="C14" s="52"/>
      <c r="D14" s="53"/>
      <c r="E14" s="299">
        <f>'SUMMARY PAY EXPENSE SHEET'!AD12</f>
        <v>518832</v>
      </c>
      <c r="F14" s="270"/>
      <c r="G14" s="36"/>
      <c r="H14" s="42"/>
      <c r="L14" s="23">
        <v>1678890</v>
      </c>
    </row>
    <row r="15" spans="2:17" x14ac:dyDescent="0.3">
      <c r="B15" s="51" t="s">
        <v>53</v>
      </c>
      <c r="C15" s="52"/>
      <c r="D15" s="53"/>
      <c r="E15" s="299">
        <f>'SUMMARY PAY EXPENSE SHEET'!AD13</f>
        <v>96902</v>
      </c>
      <c r="F15" s="270"/>
      <c r="G15" s="36"/>
      <c r="H15" s="42"/>
      <c r="L15" s="23">
        <f>L14-102550</f>
        <v>1576340</v>
      </c>
      <c r="O15" s="23">
        <v>1523828</v>
      </c>
      <c r="Q15" s="23">
        <f>L15-O15</f>
        <v>52512</v>
      </c>
    </row>
    <row r="16" spans="2:17" x14ac:dyDescent="0.3">
      <c r="B16" s="51" t="s">
        <v>54</v>
      </c>
      <c r="C16" s="52"/>
      <c r="D16" s="53"/>
      <c r="E16" s="299">
        <f>'SUMMARY PAY EXPENSE SHEET'!AD14</f>
        <v>197410</v>
      </c>
      <c r="F16" s="270"/>
      <c r="G16" s="36"/>
      <c r="H16" s="42"/>
    </row>
    <row r="17" spans="2:17" ht="15" thickBot="1" x14ac:dyDescent="0.35">
      <c r="B17" s="45" t="s">
        <v>103</v>
      </c>
      <c r="C17" s="36"/>
      <c r="D17" s="36"/>
      <c r="E17" s="300">
        <f>SUM(E5:F16)</f>
        <v>14586963</v>
      </c>
      <c r="F17" s="301"/>
      <c r="G17" s="43"/>
      <c r="H17" s="44"/>
    </row>
    <row r="18" spans="2:17" ht="15" thickBot="1" x14ac:dyDescent="0.35">
      <c r="B18" s="58" t="s">
        <v>110</v>
      </c>
      <c r="C18" s="56"/>
      <c r="D18" s="56"/>
      <c r="E18" s="56"/>
      <c r="F18" s="56"/>
      <c r="G18" s="56"/>
      <c r="H18" s="57">
        <f>G3-E17</f>
        <v>1791046</v>
      </c>
      <c r="L18" s="23">
        <f>G3-L15-E5</f>
        <v>2121006</v>
      </c>
      <c r="O18" s="23">
        <v>2185314</v>
      </c>
      <c r="Q18" s="23">
        <f>L18-O18</f>
        <v>-64308</v>
      </c>
    </row>
    <row r="19" spans="2:17" x14ac:dyDescent="0.3">
      <c r="B19" s="36"/>
      <c r="C19" s="36"/>
      <c r="D19" s="36"/>
      <c r="E19" s="36"/>
      <c r="F19" s="36"/>
      <c r="G19" s="36"/>
      <c r="H19" s="36"/>
      <c r="L19" s="23">
        <f>L18*0.25</f>
        <v>530251.5</v>
      </c>
    </row>
    <row r="20" spans="2:17" x14ac:dyDescent="0.3">
      <c r="B20" s="36"/>
      <c r="C20" s="36"/>
      <c r="D20" s="36"/>
      <c r="E20" s="36"/>
      <c r="F20" s="36"/>
      <c r="G20" s="36"/>
      <c r="H20" s="36"/>
    </row>
    <row r="21" spans="2:17" x14ac:dyDescent="0.3">
      <c r="B21" s="36"/>
      <c r="C21" s="36"/>
      <c r="D21" s="36"/>
      <c r="E21" s="36"/>
      <c r="F21" s="36"/>
      <c r="G21" s="36"/>
      <c r="H21" s="36"/>
    </row>
    <row r="22" spans="2:17" x14ac:dyDescent="0.3">
      <c r="B22" s="36"/>
      <c r="C22" s="36"/>
      <c r="D22" s="36"/>
      <c r="E22" s="36"/>
      <c r="F22" s="36"/>
      <c r="G22" s="36"/>
      <c r="H22" s="36"/>
    </row>
    <row r="23" spans="2:17" x14ac:dyDescent="0.3">
      <c r="B23" s="36"/>
      <c r="C23" s="36"/>
      <c r="D23" s="36"/>
      <c r="E23" s="36"/>
      <c r="F23" s="36"/>
      <c r="G23" s="36"/>
      <c r="H23" s="36"/>
    </row>
    <row r="24" spans="2:17" x14ac:dyDescent="0.3">
      <c r="B24" s="36"/>
      <c r="C24" s="36"/>
      <c r="D24" s="36"/>
      <c r="E24" s="36"/>
      <c r="F24" s="36"/>
      <c r="G24" s="36"/>
      <c r="H24" s="36"/>
    </row>
    <row r="25" spans="2:17" x14ac:dyDescent="0.3">
      <c r="B25" s="36"/>
      <c r="C25" s="36"/>
      <c r="D25" s="36"/>
      <c r="E25" s="36"/>
      <c r="F25" s="36"/>
      <c r="G25" s="36"/>
      <c r="H25" s="36"/>
    </row>
    <row r="26" spans="2:17" x14ac:dyDescent="0.3">
      <c r="B26" s="36"/>
      <c r="C26" s="36"/>
      <c r="D26" s="36"/>
      <c r="E26" s="36"/>
      <c r="F26" s="36"/>
      <c r="G26" s="36"/>
      <c r="H26" s="36"/>
    </row>
    <row r="27" spans="2:17" x14ac:dyDescent="0.3">
      <c r="B27" s="36"/>
      <c r="C27" s="36"/>
      <c r="D27" s="36"/>
      <c r="E27" s="36"/>
      <c r="F27" s="36"/>
      <c r="G27" s="36"/>
      <c r="H27" s="36"/>
    </row>
    <row r="28" spans="2:17" x14ac:dyDescent="0.3">
      <c r="B28" s="36"/>
      <c r="C28" s="36"/>
      <c r="D28" s="36"/>
      <c r="E28" s="36"/>
      <c r="F28" s="36"/>
      <c r="G28" s="36"/>
    </row>
    <row r="29" spans="2:17" x14ac:dyDescent="0.3">
      <c r="B29" s="36"/>
      <c r="C29" s="36"/>
      <c r="D29" s="36"/>
      <c r="E29" s="36"/>
      <c r="F29" s="36"/>
      <c r="G29" s="36"/>
    </row>
    <row r="30" spans="2:17" x14ac:dyDescent="0.3">
      <c r="B30" s="46"/>
      <c r="C30" s="36"/>
      <c r="D30" s="36"/>
      <c r="E30" s="36"/>
      <c r="F30" s="36"/>
      <c r="G30" s="36"/>
    </row>
    <row r="31" spans="2:17" ht="19.95" customHeight="1" x14ac:dyDescent="0.3">
      <c r="B31" s="74"/>
      <c r="C31" s="36"/>
      <c r="D31" s="36"/>
      <c r="E31" s="36"/>
      <c r="F31" s="36"/>
      <c r="G31" s="36"/>
    </row>
    <row r="32" spans="2:17" ht="19.95" customHeight="1" x14ac:dyDescent="0.3">
      <c r="B32" s="46"/>
      <c r="C32" s="36"/>
      <c r="D32" s="36"/>
      <c r="E32" s="36"/>
      <c r="F32" s="36"/>
      <c r="G32" s="36"/>
    </row>
    <row r="33" spans="2:7" ht="19.95" customHeight="1" x14ac:dyDescent="0.3">
      <c r="B33" s="36"/>
      <c r="C33" s="36"/>
      <c r="D33" s="36"/>
      <c r="E33" s="36"/>
      <c r="F33" s="36"/>
      <c r="G33" s="36"/>
    </row>
    <row r="34" spans="2:7" ht="19.95" customHeight="1" x14ac:dyDescent="0.3">
      <c r="B34" s="36"/>
      <c r="C34" s="36"/>
      <c r="D34" s="36"/>
      <c r="E34" s="36"/>
      <c r="F34" s="36"/>
      <c r="G34" s="36"/>
    </row>
    <row r="35" spans="2:7" ht="19.95" customHeight="1" x14ac:dyDescent="0.3">
      <c r="B35" s="36"/>
      <c r="C35" s="36"/>
      <c r="D35" s="36"/>
      <c r="E35" s="36"/>
      <c r="F35" s="36"/>
      <c r="G35" s="36"/>
    </row>
    <row r="36" spans="2:7" ht="19.95" customHeight="1" x14ac:dyDescent="0.3">
      <c r="B36" s="36"/>
      <c r="C36" s="36"/>
      <c r="D36" s="36"/>
      <c r="E36" s="36"/>
      <c r="F36" s="36"/>
      <c r="G36" s="36"/>
    </row>
    <row r="37" spans="2:7" ht="19.95" customHeight="1" x14ac:dyDescent="0.3">
      <c r="B37" s="36"/>
      <c r="C37" s="36"/>
      <c r="D37" s="36"/>
      <c r="E37" s="36"/>
      <c r="F37" s="36"/>
      <c r="G37" s="36"/>
    </row>
    <row r="38" spans="2:7" ht="19.95" customHeight="1" x14ac:dyDescent="0.3">
      <c r="B38" s="36"/>
      <c r="C38" s="36"/>
      <c r="D38" s="36"/>
      <c r="E38" s="36"/>
      <c r="F38" s="36"/>
      <c r="G38" s="36"/>
    </row>
    <row r="39" spans="2:7" ht="19.95" customHeight="1" x14ac:dyDescent="0.3">
      <c r="B39" s="36"/>
      <c r="C39" s="36"/>
      <c r="D39" s="36"/>
      <c r="E39" s="36"/>
      <c r="F39" s="36"/>
      <c r="G39" s="36"/>
    </row>
    <row r="40" spans="2:7" ht="19.95" customHeight="1" x14ac:dyDescent="0.3">
      <c r="B40" s="36"/>
      <c r="C40" s="36"/>
      <c r="D40" s="36"/>
      <c r="E40" s="36"/>
      <c r="F40" s="36"/>
      <c r="G40" s="36"/>
    </row>
    <row r="41" spans="2:7" ht="19.95" customHeight="1" x14ac:dyDescent="0.3">
      <c r="B41" s="36"/>
      <c r="C41" s="36"/>
      <c r="D41" s="36"/>
      <c r="E41" s="36"/>
      <c r="F41" s="36"/>
      <c r="G41" s="36"/>
    </row>
    <row r="42" spans="2:7" ht="19.95" customHeight="1" x14ac:dyDescent="0.3">
      <c r="B42" s="36"/>
      <c r="C42" s="36"/>
      <c r="D42" s="36"/>
      <c r="E42" s="36"/>
      <c r="F42" s="36"/>
      <c r="G42" s="36"/>
    </row>
    <row r="43" spans="2:7" ht="19.95" customHeight="1" x14ac:dyDescent="0.3">
      <c r="B43" s="36"/>
      <c r="C43" s="36"/>
      <c r="D43" s="36"/>
      <c r="E43" s="36"/>
      <c r="F43" s="36"/>
      <c r="G43" s="36"/>
    </row>
    <row r="44" spans="2:7" ht="19.95" customHeight="1" x14ac:dyDescent="0.3">
      <c r="B44" s="36"/>
      <c r="C44" s="36"/>
      <c r="D44" s="36"/>
      <c r="E44" s="36"/>
      <c r="F44" s="36"/>
      <c r="G44" s="36"/>
    </row>
    <row r="45" spans="2:7" ht="19.95" customHeight="1" x14ac:dyDescent="0.3">
      <c r="B45" s="36"/>
      <c r="C45" s="36"/>
      <c r="D45" s="36"/>
      <c r="E45" s="36"/>
      <c r="F45" s="36"/>
      <c r="G45" s="36"/>
    </row>
    <row r="46" spans="2:7" ht="19.95" customHeight="1" x14ac:dyDescent="0.3">
      <c r="B46" s="36"/>
      <c r="C46" s="36"/>
      <c r="D46" s="36"/>
      <c r="E46" s="36"/>
      <c r="F46" s="36"/>
      <c r="G46" s="36"/>
    </row>
    <row r="47" spans="2:7" x14ac:dyDescent="0.3">
      <c r="B47" s="36"/>
      <c r="C47" s="36"/>
      <c r="D47" s="36"/>
      <c r="E47" s="36"/>
      <c r="F47" s="36"/>
      <c r="G47" s="36"/>
    </row>
    <row r="48" spans="2:7" x14ac:dyDescent="0.3">
      <c r="B48" s="36"/>
      <c r="C48" s="36"/>
      <c r="D48" s="36"/>
      <c r="E48" s="36"/>
      <c r="F48" s="36"/>
      <c r="G48" s="36"/>
    </row>
  </sheetData>
  <mergeCells count="17">
    <mergeCell ref="E6:F6"/>
    <mergeCell ref="E7:F7"/>
    <mergeCell ref="E8:F8"/>
    <mergeCell ref="E9:F9"/>
    <mergeCell ref="B2:H2"/>
    <mergeCell ref="B3:C3"/>
    <mergeCell ref="G3:H3"/>
    <mergeCell ref="E4:F4"/>
    <mergeCell ref="E5:F5"/>
    <mergeCell ref="E16:F16"/>
    <mergeCell ref="E17:F17"/>
    <mergeCell ref="E10:F10"/>
    <mergeCell ref="E11:F11"/>
    <mergeCell ref="E12:F12"/>
    <mergeCell ref="E13:F13"/>
    <mergeCell ref="E14:F14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WITHDRWAL STATE</vt:lpstr>
      <vt:lpstr>SUMMARY PAY EXPENSE SHEET</vt:lpstr>
      <vt:lpstr>EXPENSE SHEET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GGS GGS</dc:creator>
  <cp:lastModifiedBy>GGS GGS</cp:lastModifiedBy>
  <cp:lastPrinted>2025-03-13T07:30:39Z</cp:lastPrinted>
  <dcterms:created xsi:type="dcterms:W3CDTF">2025-01-13T07:37:28Z</dcterms:created>
  <dcterms:modified xsi:type="dcterms:W3CDTF">2026-10-16T07:35:30Z</dcterms:modified>
</cp:coreProperties>
</file>